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刷题记录" sheetId="1" state="visible" r:id="rId1"/>
    <sheet xmlns:r="http://schemas.openxmlformats.org/officeDocument/2006/relationships" name="进度总览" sheetId="2" state="visible" r:id="rId2"/>
    <sheet xmlns:r="http://schemas.openxmlformats.org/officeDocument/2006/relationships" name="每周计划" sheetId="3" state="visible" r:id="rId3"/>
    <sheet xmlns:r="http://schemas.openxmlformats.org/officeDocument/2006/relationships" name="使用说明" sheetId="4" state="visible" r:id="rId4"/>
  </sheets>
  <definedNames>
    <definedName name="_xlnm._FilterDatabase" localSheetId="0" hidden="1">'刷题记录'!$A$1:$L$165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yyyy\-mm\-dd"/>
    <numFmt numFmtId="165" formatCode="0.0%"/>
    <numFmt numFmtId="166" formatCode="0.0"/>
  </numFmts>
  <fonts count="1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Noto Sans CJK SC"/>
      <family val="2"/>
      <b val="1"/>
      <color rgb="FFFFFFFF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10"/>
    </font>
    <font>
      <name val="Noto Sans CJK SC"/>
      <family val="2"/>
      <sz val="10"/>
    </font>
    <font>
      <name val="Arial"/>
      <charset val="1"/>
      <family val="0"/>
      <b val="1"/>
      <color rgb="FF1F3864"/>
      <sz val="14"/>
    </font>
    <font>
      <name val="Noto Sans CJK SC"/>
      <family val="2"/>
      <b val="1"/>
      <color rgb="FF1F3864"/>
      <sz val="14"/>
    </font>
    <font>
      <name val="Noto Sans CJK SC"/>
      <family val="2"/>
      <color rgb="FF7F7F7F"/>
      <sz val="9"/>
    </font>
    <font>
      <name val="Noto Sans CJK SC"/>
      <family val="2"/>
      <b val="1"/>
      <sz val="10"/>
    </font>
    <font>
      <name val="Arial"/>
      <charset val="1"/>
      <family val="0"/>
      <b val="1"/>
      <sz val="10"/>
    </font>
    <font>
      <name val="Noto Sans CJK SC"/>
      <family val="2"/>
      <b val="1"/>
      <color rgb="FF1F3864"/>
      <sz val="12"/>
    </font>
    <font>
      <name val="Arial"/>
      <charset val="1"/>
      <family val="0"/>
      <b val="1"/>
      <color rgb="FF0000FF"/>
      <sz val="10"/>
    </font>
    <font>
      <name val="Arial"/>
      <charset val="1"/>
      <family val="0"/>
      <color rgb="FF7F7F7F"/>
      <sz val="9"/>
    </font>
    <font>
      <name val="Noto Sans CJK SC"/>
      <family val="2"/>
      <b val="1"/>
      <color rgb="FF1F3864"/>
      <sz val="11"/>
    </font>
    <font>
      <name val="Arial"/>
      <charset val="1"/>
      <family val="0"/>
      <strike val="1"/>
      <color rgb="FF7F7F7F"/>
      <sz val="10"/>
    </font>
  </fonts>
  <fills count="8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C55A11"/>
        <bgColor rgb="FF993300"/>
      </patternFill>
    </fill>
    <fill>
      <patternFill patternType="solid">
        <fgColor rgb="FFFFF9E5"/>
        <bgColor rgb="FFFFFFFF"/>
      </patternFill>
    </fill>
    <fill>
      <patternFill patternType="solid">
        <fgColor rgb="FFDDEBF7"/>
        <bgColor rgb="FFE2F0D9"/>
      </patternFill>
    </fill>
    <fill>
      <patternFill patternType="solid">
        <fgColor rgb="FFFFFF00"/>
        <bgColor rgb="FFFFFF00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6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/>
    </xf>
    <xf numFmtId="0" fontId="6" fillId="0" borderId="1" applyAlignment="1" pivotButton="0" quotePrefix="0" xfId="0">
      <alignment horizontal="general" vertical="center" wrapText="1"/>
    </xf>
    <xf numFmtId="164" fontId="6" fillId="4" borderId="1" applyAlignment="1" pivotButton="0" quotePrefix="0" xfId="0">
      <alignment horizontal="center" vertical="center"/>
    </xf>
    <xf numFmtId="1" fontId="6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general" vertical="center" wrapText="1"/>
    </xf>
    <xf numFmtId="0" fontId="8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5" borderId="1" applyAlignment="1" pivotButton="0" quotePrefix="0" xfId="0">
      <alignment horizontal="general" vertical="bottom"/>
    </xf>
    <xf numFmtId="1" fontId="6" fillId="0" borderId="1" applyAlignment="1" pivotButton="0" quotePrefix="0" xfId="0">
      <alignment horizontal="center" vertical="bottom"/>
    </xf>
    <xf numFmtId="165" fontId="6" fillId="0" borderId="1" applyAlignment="1" pivotButton="0" quotePrefix="0" xfId="0">
      <alignment horizontal="center" vertical="bottom"/>
    </xf>
    <xf numFmtId="166" fontId="6" fillId="0" borderId="1" applyAlignment="1" pivotButton="0" quotePrefix="0" xfId="0">
      <alignment horizontal="center" vertical="bottom"/>
    </xf>
    <xf numFmtId="0" fontId="13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center" vertical="bottom"/>
    </xf>
    <xf numFmtId="9" fontId="6" fillId="0" borderId="1" applyAlignment="1" pivotButton="0" quotePrefix="0" xfId="0">
      <alignment horizontal="center" vertical="bottom"/>
    </xf>
    <xf numFmtId="0" fontId="11" fillId="0" borderId="0" applyAlignment="1" pivotButton="0" quotePrefix="0" xfId="0">
      <alignment horizontal="general" vertical="bottom"/>
    </xf>
    <xf numFmtId="164" fontId="14" fillId="6" borderId="1" applyAlignment="1" pivotButton="0" quotePrefix="0" xfId="0">
      <alignment horizontal="general" vertical="bottom"/>
    </xf>
    <xf numFmtId="164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 wrapText="1"/>
    </xf>
    <xf numFmtId="9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center" vertical="bottom"/>
    </xf>
    <xf numFmtId="9" fontId="12" fillId="0" borderId="0" applyAlignment="1" pivotButton="0" quotePrefix="0" xfId="0">
      <alignment horizontal="center" vertical="bottom"/>
    </xf>
    <xf numFmtId="0" fontId="9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top" wrapText="1"/>
    </xf>
    <xf numFmtId="0" fontId="16" fillId="0" borderId="0" applyAlignment="1" pivotButton="0" quotePrefix="0" xfId="0">
      <alignment horizontal="general" vertical="bottom"/>
    </xf>
    <xf numFmtId="0" fontId="4" fillId="3" borderId="1" applyAlignment="1" pivotButton="0" quotePrefix="0" xfId="0">
      <alignment horizontal="center" vertical="bottom" wrapText="1"/>
    </xf>
    <xf numFmtId="164" fontId="6" fillId="0" borderId="1" applyAlignment="1" pivotButton="0" quotePrefix="0" xfId="0">
      <alignment horizontal="center" vertical="bottom"/>
    </xf>
    <xf numFmtId="0" fontId="7" fillId="0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/>
    </xf>
    <xf numFmtId="0" fontId="6" fillId="0" borderId="1" applyAlignment="1" pivotButton="0" quotePrefix="0" xfId="0">
      <alignment horizontal="general" vertical="center" wrapText="1"/>
    </xf>
    <xf numFmtId="164" fontId="6" fillId="4" borderId="1" applyAlignment="1" pivotButton="0" quotePrefix="0" xfId="0">
      <alignment horizontal="center" vertical="center"/>
    </xf>
    <xf numFmtId="1" fontId="6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general" vertical="center" wrapText="1"/>
    </xf>
    <xf numFmtId="0" fontId="8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5" borderId="1" applyAlignment="1" pivotButton="0" quotePrefix="0" xfId="0">
      <alignment horizontal="general" vertical="bottom"/>
    </xf>
    <xf numFmtId="1" fontId="6" fillId="0" borderId="1" applyAlignment="1" pivotButton="0" quotePrefix="0" xfId="0">
      <alignment horizontal="center" vertical="bottom"/>
    </xf>
    <xf numFmtId="165" fontId="6" fillId="0" borderId="1" applyAlignment="1" pivotButton="0" quotePrefix="0" xfId="0">
      <alignment horizontal="center" vertical="bottom"/>
    </xf>
    <xf numFmtId="166" fontId="6" fillId="0" borderId="1" applyAlignment="1" pivotButton="0" quotePrefix="0" xfId="0">
      <alignment horizontal="center" vertical="bottom"/>
    </xf>
    <xf numFmtId="0" fontId="13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center" vertical="bottom"/>
    </xf>
    <xf numFmtId="9" fontId="6" fillId="0" borderId="1" applyAlignment="1" pivotButton="0" quotePrefix="0" xfId="0">
      <alignment horizontal="center" vertical="bottom"/>
    </xf>
    <xf numFmtId="0" fontId="11" fillId="0" borderId="0" applyAlignment="1" pivotButton="0" quotePrefix="0" xfId="0">
      <alignment horizontal="general" vertical="bottom"/>
    </xf>
    <xf numFmtId="164" fontId="14" fillId="6" borderId="1" applyAlignment="1" pivotButton="0" quotePrefix="0" xfId="0">
      <alignment horizontal="general" vertical="bottom"/>
    </xf>
    <xf numFmtId="164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 wrapText="1"/>
    </xf>
    <xf numFmtId="9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center" vertical="bottom"/>
    </xf>
    <xf numFmtId="9" fontId="12" fillId="0" borderId="0" applyAlignment="1" pivotButton="0" quotePrefix="0" xfId="0">
      <alignment horizontal="center" vertical="bottom"/>
    </xf>
    <xf numFmtId="0" fontId="9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top" wrapText="1"/>
    </xf>
    <xf numFmtId="0" fontId="16" fillId="0" borderId="0" applyAlignment="1" pivotButton="0" quotePrefix="0" xfId="0">
      <alignment horizontal="general" vertical="bottom"/>
    </xf>
    <xf numFmtId="0" fontId="4" fillId="3" borderId="1" applyAlignment="1" pivotButton="0" quotePrefix="0" xfId="0">
      <alignment horizontal="center" vertical="bottom" wrapText="1"/>
    </xf>
    <xf numFmtId="164" fontId="6" fillId="0" borderId="1" applyAlignment="1" pivotButton="0" quotePrefix="0" xfId="0">
      <alignment horizontal="center" vertical="bottom"/>
    </xf>
    <xf numFmtId="0" fontId="7" fillId="0" borderId="1" applyAlignment="1" pivotButton="0" quotePrefix="0" xfId="0">
      <alignment horizontal="center" vertical="bottom"/>
    </xf>
    <xf numFmtId="0" fontId="17" fillId="7" borderId="1" applyAlignment="1" pivotButton="0" quotePrefix="0" xfId="0">
      <alignment horizontal="center" vertical="center"/>
    </xf>
    <xf numFmtId="0" fontId="17" fillId="7" borderId="1" applyAlignment="1" pivotButton="0" quotePrefix="0" xfId="0">
      <alignment horizontal="general" vertical="center"/>
    </xf>
    <xf numFmtId="0" fontId="17" fillId="7" borderId="1" applyAlignment="1" pivotButton="0" quotePrefix="0" xfId="0">
      <alignment horizontal="general" vertical="center" wrapText="1"/>
    </xf>
    <xf numFmtId="164" fontId="17" fillId="7" borderId="1" applyAlignment="1" pivotButton="0" quotePrefix="0" xfId="0">
      <alignment horizontal="center" vertical="center"/>
    </xf>
    <xf numFmtId="1" fontId="17" fillId="7" borderId="1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9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55A11"/>
          <bgColor rgb="FF000000"/>
        </patternFill>
      </fill>
    </dxf>
    <dxf>
      <fill>
        <patternFill patternType="solid">
          <fgColor rgb="FFFFF9E5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E2F0D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9E5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F0D9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C55A11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16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6" customWidth="1" style="35" min="1" max="1"/>
    <col width="28" customWidth="1" style="35" min="2" max="2"/>
    <col width="11" customWidth="1" style="35" min="3" max="3"/>
    <col width="46" customWidth="1" style="35" min="4" max="4"/>
    <col width="9" customWidth="1" style="35" min="5" max="5"/>
    <col width="13" customWidth="1" style="35" min="6" max="7"/>
    <col width="15" customWidth="1" style="35" min="8" max="8"/>
    <col width="10" customWidth="1" style="35" min="9" max="9"/>
    <col width="13" customWidth="1" style="35" min="10" max="11"/>
    <col width="40" customWidth="1" style="35" min="12" max="12"/>
  </cols>
  <sheetData>
    <row r="1" ht="31.5" customHeight="1" s="36">
      <c r="A1" s="37" t="inlineStr">
        <is>
          <t>周</t>
        </is>
      </c>
      <c r="B1" s="37" t="inlineStr">
        <is>
          <t>模块</t>
        </is>
      </c>
      <c r="C1" s="37" t="inlineStr">
        <is>
          <t>题目编号</t>
        </is>
      </c>
      <c r="D1" s="37" t="inlineStr">
        <is>
          <t>题名</t>
        </is>
      </c>
      <c r="E1" s="37" t="inlineStr">
        <is>
          <t>难度</t>
        </is>
      </c>
      <c r="F1" s="38" t="inlineStr">
        <is>
          <t>一刷日期</t>
        </is>
      </c>
      <c r="G1" s="38" t="inlineStr">
        <is>
          <t>一刷用时(分钟)</t>
        </is>
      </c>
      <c r="H1" s="38" t="inlineStr">
        <is>
          <t>掌握度</t>
        </is>
      </c>
      <c r="I1" s="37" t="inlineStr">
        <is>
          <t>是否二刷</t>
        </is>
      </c>
      <c r="J1" s="38" t="inlineStr">
        <is>
          <t>二刷日期</t>
        </is>
      </c>
      <c r="K1" s="38" t="inlineStr">
        <is>
          <t>二刷用时(分钟)</t>
        </is>
      </c>
      <c r="L1" s="38" t="inlineStr">
        <is>
          <t>备注</t>
        </is>
      </c>
    </row>
    <row r="2" ht="15" customHeight="1" s="36">
      <c r="A2" s="71" t="n">
        <v>1</v>
      </c>
      <c r="B2" s="72" t="inlineStr">
        <is>
          <t>Array &amp; Hashing 数组与哈希</t>
        </is>
      </c>
      <c r="C2" s="71" t="n">
        <v>217</v>
      </c>
      <c r="D2" s="73" t="inlineStr">
        <is>
          <t>Contains Duplicate</t>
        </is>
      </c>
      <c r="E2" s="71" t="inlineStr">
        <is>
          <t>Easy</t>
        </is>
      </c>
      <c r="F2" s="74" t="inlineStr">
        <is>
          <t>计划前已做</t>
        </is>
      </c>
      <c r="G2" s="75" t="n"/>
      <c r="H2" s="71" t="n"/>
      <c r="I2" s="71">
        <f>IF(OR(K2&lt;&gt;"",J2&lt;&gt;""),"是",IF(OR(G2&lt;&gt;"",F2&lt;&gt;""),"否",""))</f>
        <v/>
      </c>
      <c r="J2" s="74" t="n"/>
      <c r="K2" s="75" t="n"/>
      <c r="L2" s="73" t="n"/>
    </row>
    <row r="3" ht="15" customHeight="1" s="36">
      <c r="A3" s="71" t="n">
        <v>1</v>
      </c>
      <c r="B3" s="72" t="inlineStr">
        <is>
          <t>Array &amp; Hashing 数组与哈希</t>
        </is>
      </c>
      <c r="C3" s="71" t="n">
        <v>242</v>
      </c>
      <c r="D3" s="73" t="inlineStr">
        <is>
          <t>Valid Anagram</t>
        </is>
      </c>
      <c r="E3" s="71" t="inlineStr">
        <is>
          <t>Easy</t>
        </is>
      </c>
      <c r="F3" s="74" t="n">
        <v>46311</v>
      </c>
      <c r="G3" s="75" t="n"/>
      <c r="H3" s="71" t="n"/>
      <c r="I3" s="71">
        <f>IF(OR(K3&lt;&gt;"",J3&lt;&gt;""),"是",IF(OR(G3&lt;&gt;"",F3&lt;&gt;""),"否",""))</f>
        <v/>
      </c>
      <c r="J3" s="74" t="n"/>
      <c r="K3" s="75" t="n"/>
      <c r="L3" s="73" t="n"/>
    </row>
    <row r="4" ht="15" customHeight="1" s="36">
      <c r="A4" s="71" t="n">
        <v>1</v>
      </c>
      <c r="B4" s="72" t="inlineStr">
        <is>
          <t>Array &amp; Hashing 数组与哈希</t>
        </is>
      </c>
      <c r="C4" s="71" t="n">
        <v>1</v>
      </c>
      <c r="D4" s="73" t="inlineStr">
        <is>
          <t>Two Sum</t>
        </is>
      </c>
      <c r="E4" s="71" t="inlineStr">
        <is>
          <t>Easy</t>
        </is>
      </c>
      <c r="F4" s="74" t="inlineStr">
        <is>
          <t>计划前已做</t>
        </is>
      </c>
      <c r="G4" s="75" t="n"/>
      <c r="H4" s="71" t="n"/>
      <c r="I4" s="71">
        <f>IF(OR(K4&lt;&gt;"",J4&lt;&gt;""),"是",IF(OR(G4&lt;&gt;"",F4&lt;&gt;""),"否",""))</f>
        <v/>
      </c>
      <c r="J4" s="74" t="n"/>
      <c r="K4" s="75" t="n"/>
      <c r="L4" s="73" t="n"/>
    </row>
    <row r="5" ht="15" customHeight="1" s="36">
      <c r="A5" s="71" t="n">
        <v>1</v>
      </c>
      <c r="B5" s="72" t="inlineStr">
        <is>
          <t>Array &amp; Hashing 数组与哈希</t>
        </is>
      </c>
      <c r="C5" s="71" t="n">
        <v>409</v>
      </c>
      <c r="D5" s="73" t="inlineStr">
        <is>
          <t>Longest Palindrome</t>
        </is>
      </c>
      <c r="E5" s="71" t="inlineStr">
        <is>
          <t>Easy</t>
        </is>
      </c>
      <c r="F5" s="74" t="inlineStr">
        <is>
          <t>计划前已做</t>
        </is>
      </c>
      <c r="G5" s="75" t="n"/>
      <c r="H5" s="71" t="n"/>
      <c r="I5" s="71">
        <f>IF(OR(K5&lt;&gt;"",J5&lt;&gt;""),"是",IF(OR(G5&lt;&gt;"",F5&lt;&gt;""),"否",""))</f>
        <v/>
      </c>
      <c r="J5" s="74" t="n"/>
      <c r="K5" s="75" t="n"/>
      <c r="L5" s="73" t="n"/>
    </row>
    <row r="6" ht="15" customHeight="1" s="36">
      <c r="A6" s="71" t="n">
        <v>1</v>
      </c>
      <c r="B6" s="72" t="inlineStr">
        <is>
          <t>Array &amp; Hashing 数组与哈希</t>
        </is>
      </c>
      <c r="C6" s="71" t="n">
        <v>49</v>
      </c>
      <c r="D6" s="73" t="inlineStr">
        <is>
          <t>Group Anagrams</t>
        </is>
      </c>
      <c r="E6" s="71" t="inlineStr">
        <is>
          <t>Medium</t>
        </is>
      </c>
      <c r="F6" s="74" t="inlineStr">
        <is>
          <t>计划前已做</t>
        </is>
      </c>
      <c r="G6" s="75" t="n"/>
      <c r="H6" s="71" t="n"/>
      <c r="I6" s="71">
        <f>IF(OR(K6&lt;&gt;"",J6&lt;&gt;""),"是",IF(OR(G6&lt;&gt;"",F6&lt;&gt;""),"否",""))</f>
        <v/>
      </c>
      <c r="J6" s="74" t="n"/>
      <c r="K6" s="75" t="n"/>
      <c r="L6" s="73" t="n"/>
    </row>
    <row r="7" ht="15" customHeight="1" s="36">
      <c r="A7" s="71" t="n">
        <v>1</v>
      </c>
      <c r="B7" s="72" t="inlineStr">
        <is>
          <t>Array &amp; Hashing 数组与哈希</t>
        </is>
      </c>
      <c r="C7" s="71" t="n">
        <v>347</v>
      </c>
      <c r="D7" s="73" t="inlineStr">
        <is>
          <t>Top K Frequent Elements</t>
        </is>
      </c>
      <c r="E7" s="71" t="inlineStr">
        <is>
          <t>Medium</t>
        </is>
      </c>
      <c r="F7" s="74" t="inlineStr">
        <is>
          <t>计划前已做</t>
        </is>
      </c>
      <c r="G7" s="75" t="n"/>
      <c r="H7" s="71" t="n"/>
      <c r="I7" s="71">
        <f>IF(OR(K7&lt;&gt;"",J7&lt;&gt;""),"是",IF(OR(G7&lt;&gt;"",F7&lt;&gt;""),"否",""))</f>
        <v/>
      </c>
      <c r="J7" s="74" t="n"/>
      <c r="K7" s="75" t="n"/>
      <c r="L7" s="73" t="n"/>
    </row>
    <row r="8" ht="15" customHeight="1" s="36">
      <c r="A8" s="39" t="n">
        <v>1</v>
      </c>
      <c r="B8" s="40" t="inlineStr">
        <is>
          <t>Array &amp; Hashing 数组与哈希</t>
        </is>
      </c>
      <c r="C8" s="39" t="n">
        <v>271</v>
      </c>
      <c r="D8" s="41" t="inlineStr">
        <is>
          <t>Encode and Decode Strings</t>
        </is>
      </c>
      <c r="E8" s="39" t="inlineStr">
        <is>
          <t>Medium</t>
        </is>
      </c>
      <c r="F8" s="42" t="n"/>
      <c r="G8" s="43" t="n"/>
      <c r="H8" s="44" t="n"/>
      <c r="I8" s="39">
        <f>IF(OR(K8&lt;&gt;"",J8&lt;&gt;""),"是",IF(OR(G8&lt;&gt;"",F8&lt;&gt;""),"否",""))</f>
        <v/>
      </c>
      <c r="J8" s="42" t="n"/>
      <c r="K8" s="43" t="n"/>
      <c r="L8" s="45" t="inlineStr">
        <is>
          <t>LeetCode 会员题（可在 neetcode.io 找同名题练习）</t>
        </is>
      </c>
    </row>
    <row r="9" ht="15" customHeight="1" s="36">
      <c r="A9" s="71" t="n">
        <v>1</v>
      </c>
      <c r="B9" s="72" t="inlineStr">
        <is>
          <t>Array &amp; Hashing 数组与哈希</t>
        </is>
      </c>
      <c r="C9" s="71" t="n">
        <v>238</v>
      </c>
      <c r="D9" s="73" t="inlineStr">
        <is>
          <t>Product of Array Except Self</t>
        </is>
      </c>
      <c r="E9" s="71" t="inlineStr">
        <is>
          <t>Medium</t>
        </is>
      </c>
      <c r="F9" s="74" t="n">
        <v>46311</v>
      </c>
      <c r="G9" s="75" t="n"/>
      <c r="H9" s="71" t="n"/>
      <c r="I9" s="71">
        <f>IF(OR(K9&lt;&gt;"",J9&lt;&gt;""),"是",IF(OR(G9&lt;&gt;"",F9&lt;&gt;""),"否",""))</f>
        <v/>
      </c>
      <c r="J9" s="74" t="n"/>
      <c r="K9" s="75" t="n"/>
      <c r="L9" s="73" t="n"/>
    </row>
    <row r="10" ht="15" customHeight="1" s="36">
      <c r="A10" s="71" t="n">
        <v>1</v>
      </c>
      <c r="B10" s="72" t="inlineStr">
        <is>
          <t>Array &amp; Hashing 数组与哈希</t>
        </is>
      </c>
      <c r="C10" s="71" t="n">
        <v>36</v>
      </c>
      <c r="D10" s="73" t="inlineStr">
        <is>
          <t>Valid Sudoku</t>
        </is>
      </c>
      <c r="E10" s="71" t="inlineStr">
        <is>
          <t>Medium</t>
        </is>
      </c>
      <c r="F10" s="74" t="n">
        <v>46311</v>
      </c>
      <c r="G10" s="75" t="n"/>
      <c r="H10" s="71" t="n"/>
      <c r="I10" s="71">
        <f>IF(OR(K10&lt;&gt;"",J10&lt;&gt;""),"是",IF(OR(G10&lt;&gt;"",F10&lt;&gt;""),"否",""))</f>
        <v/>
      </c>
      <c r="J10" s="74" t="n"/>
      <c r="K10" s="75" t="n"/>
      <c r="L10" s="73" t="n"/>
    </row>
    <row r="11" ht="15" customHeight="1" s="36">
      <c r="A11" s="71" t="n">
        <v>1</v>
      </c>
      <c r="B11" s="72" t="inlineStr">
        <is>
          <t>Array &amp; Hashing 数组与哈希</t>
        </is>
      </c>
      <c r="C11" s="71" t="n">
        <v>128</v>
      </c>
      <c r="D11" s="73" t="inlineStr">
        <is>
          <t>Longest Consecutive Sequence</t>
        </is>
      </c>
      <c r="E11" s="71" t="inlineStr">
        <is>
          <t>Medium</t>
        </is>
      </c>
      <c r="F11" s="74" t="n">
        <v>46313</v>
      </c>
      <c r="G11" s="75" t="n"/>
      <c r="H11" s="71" t="n"/>
      <c r="I11" s="71">
        <f>IF(OR(K11&lt;&gt;"",J11&lt;&gt;""),"是",IF(OR(G11&lt;&gt;"",F11&lt;&gt;""),"否",""))</f>
        <v/>
      </c>
      <c r="J11" s="74" t="n"/>
      <c r="K11" s="75" t="n"/>
      <c r="L11" s="73" t="n"/>
    </row>
    <row r="12" ht="15" customHeight="1" s="36">
      <c r="A12" s="39" t="n">
        <v>1</v>
      </c>
      <c r="B12" s="40" t="inlineStr">
        <is>
          <t>Two Pointers 双指针</t>
        </is>
      </c>
      <c r="C12" s="39" t="n">
        <v>15</v>
      </c>
      <c r="D12" s="41" t="inlineStr">
        <is>
          <t>3Sum</t>
        </is>
      </c>
      <c r="E12" s="39" t="inlineStr">
        <is>
          <t>Medium</t>
        </is>
      </c>
      <c r="F12" s="42" t="n"/>
      <c r="G12" s="43" t="n"/>
      <c r="H12" s="44" t="n"/>
      <c r="I12" s="39">
        <f>IF(OR(K12&lt;&gt;"",J12&lt;&gt;""),"是",IF(OR(G12&lt;&gt;"",F12&lt;&gt;""),"否",""))</f>
        <v/>
      </c>
      <c r="J12" s="42" t="n"/>
      <c r="K12" s="43" t="n"/>
      <c r="L12" s="45" t="n"/>
    </row>
    <row r="13" ht="15" customHeight="1" s="36">
      <c r="A13" s="39" t="n">
        <v>1</v>
      </c>
      <c r="B13" s="40" t="inlineStr">
        <is>
          <t>Two Pointers 双指针</t>
        </is>
      </c>
      <c r="C13" s="39" t="n">
        <v>11</v>
      </c>
      <c r="D13" s="41" t="inlineStr">
        <is>
          <t>Container With Most Water</t>
        </is>
      </c>
      <c r="E13" s="39" t="inlineStr">
        <is>
          <t>Medium</t>
        </is>
      </c>
      <c r="F13" s="42" t="n"/>
      <c r="G13" s="43" t="n"/>
      <c r="H13" s="44" t="n"/>
      <c r="I13" s="39">
        <f>IF(OR(K13&lt;&gt;"",J13&lt;&gt;""),"是",IF(OR(G13&lt;&gt;"",F13&lt;&gt;""),"否",""))</f>
        <v/>
      </c>
      <c r="J13" s="42" t="n"/>
      <c r="K13" s="43" t="n"/>
      <c r="L13" s="45" t="n"/>
    </row>
    <row r="14" ht="15" customHeight="1" s="36">
      <c r="A14" s="39" t="n">
        <v>1</v>
      </c>
      <c r="B14" s="40" t="inlineStr">
        <is>
          <t>Two Pointers 双指针</t>
        </is>
      </c>
      <c r="C14" s="39" t="n">
        <v>42</v>
      </c>
      <c r="D14" s="41" t="inlineStr">
        <is>
          <t>Trapping Rain Water</t>
        </is>
      </c>
      <c r="E14" s="39" t="inlineStr">
        <is>
          <t>Hard</t>
        </is>
      </c>
      <c r="F14" s="42" t="n"/>
      <c r="G14" s="43" t="n"/>
      <c r="H14" s="44" t="n"/>
      <c r="I14" s="39">
        <f>IF(OR(K14&lt;&gt;"",J14&lt;&gt;""),"是",IF(OR(G14&lt;&gt;"",F14&lt;&gt;""),"否",""))</f>
        <v/>
      </c>
      <c r="J14" s="42" t="n"/>
      <c r="K14" s="43" t="n"/>
      <c r="L14" s="45" t="n"/>
    </row>
    <row r="15" ht="15" customHeight="1" s="36">
      <c r="A15" s="39" t="n">
        <v>1</v>
      </c>
      <c r="B15" s="40" t="inlineStr">
        <is>
          <t>Two Pointers 双指针</t>
        </is>
      </c>
      <c r="C15" s="39" t="n">
        <v>75</v>
      </c>
      <c r="D15" s="41" t="inlineStr">
        <is>
          <t>Sort Colors</t>
        </is>
      </c>
      <c r="E15" s="39" t="inlineStr">
        <is>
          <t>Medium</t>
        </is>
      </c>
      <c r="F15" s="42" t="n"/>
      <c r="G15" s="43" t="n"/>
      <c r="H15" s="44" t="n"/>
      <c r="I15" s="39">
        <f>IF(OR(K15&lt;&gt;"",J15&lt;&gt;""),"是",IF(OR(G15&lt;&gt;"",F15&lt;&gt;""),"否",""))</f>
        <v/>
      </c>
      <c r="J15" s="42" t="n"/>
      <c r="K15" s="43" t="n"/>
      <c r="L15" s="45" t="n"/>
    </row>
    <row r="16" ht="15" customHeight="1" s="36">
      <c r="A16" s="71" t="n">
        <v>2</v>
      </c>
      <c r="B16" s="72" t="inlineStr">
        <is>
          <t>Sliding Window 滑动窗口</t>
        </is>
      </c>
      <c r="C16" s="71" t="n">
        <v>121</v>
      </c>
      <c r="D16" s="73" t="inlineStr">
        <is>
          <t>Best Time to Buy and Sell Stock</t>
        </is>
      </c>
      <c r="E16" s="71" t="inlineStr">
        <is>
          <t>Easy</t>
        </is>
      </c>
      <c r="F16" s="74" t="n">
        <v>46314</v>
      </c>
      <c r="G16" s="75" t="n"/>
      <c r="H16" s="71" t="n"/>
      <c r="I16" s="71">
        <f>IF(OR(K16&lt;&gt;"",J16&lt;&gt;""),"是",IF(OR(G16&lt;&gt;"",F16&lt;&gt;""),"否",""))</f>
        <v/>
      </c>
      <c r="J16" s="74" t="n"/>
      <c r="K16" s="75" t="n"/>
      <c r="L16" s="73" t="n"/>
    </row>
    <row r="17" ht="15" customHeight="1" s="36">
      <c r="A17" s="39" t="n">
        <v>2</v>
      </c>
      <c r="B17" s="40" t="inlineStr">
        <is>
          <t>Sliding Window 滑动窗口</t>
        </is>
      </c>
      <c r="C17" s="39" t="n">
        <v>3</v>
      </c>
      <c r="D17" s="41" t="inlineStr">
        <is>
          <t>Longest Substring Without Repeating Characters</t>
        </is>
      </c>
      <c r="E17" s="39" t="inlineStr">
        <is>
          <t>Medium</t>
        </is>
      </c>
      <c r="F17" s="42" t="n"/>
      <c r="G17" s="43" t="n"/>
      <c r="H17" s="44" t="n"/>
      <c r="I17" s="39">
        <f>IF(OR(K17&lt;&gt;"",J17&lt;&gt;""),"是",IF(OR(G17&lt;&gt;"",F17&lt;&gt;""),"否",""))</f>
        <v/>
      </c>
      <c r="J17" s="42" t="n"/>
      <c r="K17" s="43" t="n"/>
      <c r="L17" s="45" t="n"/>
    </row>
    <row r="18" ht="15" customHeight="1" s="36">
      <c r="A18" s="39" t="n">
        <v>2</v>
      </c>
      <c r="B18" s="40" t="inlineStr">
        <is>
          <t>Sliding Window 滑动窗口</t>
        </is>
      </c>
      <c r="C18" s="39" t="n">
        <v>424</v>
      </c>
      <c r="D18" s="41" t="inlineStr">
        <is>
          <t>Longest Repeating Character Replacement</t>
        </is>
      </c>
      <c r="E18" s="39" t="inlineStr">
        <is>
          <t>Medium</t>
        </is>
      </c>
      <c r="F18" s="42" t="n"/>
      <c r="G18" s="43" t="n"/>
      <c r="H18" s="44" t="n"/>
      <c r="I18" s="39">
        <f>IF(OR(K18&lt;&gt;"",J18&lt;&gt;""),"是",IF(OR(G18&lt;&gt;"",F18&lt;&gt;""),"否",""))</f>
        <v/>
      </c>
      <c r="J18" s="42" t="n"/>
      <c r="K18" s="43" t="n"/>
      <c r="L18" s="45" t="n"/>
    </row>
    <row r="19" ht="15" customHeight="1" s="36">
      <c r="A19" s="39" t="n">
        <v>2</v>
      </c>
      <c r="B19" s="40" t="inlineStr">
        <is>
          <t>Sliding Window 滑动窗口</t>
        </is>
      </c>
      <c r="C19" s="39" t="n">
        <v>567</v>
      </c>
      <c r="D19" s="41" t="inlineStr">
        <is>
          <t>Permutation in String</t>
        </is>
      </c>
      <c r="E19" s="39" t="inlineStr">
        <is>
          <t>Medium</t>
        </is>
      </c>
      <c r="F19" s="42" t="n"/>
      <c r="G19" s="43" t="n"/>
      <c r="H19" s="44" t="n"/>
      <c r="I19" s="39">
        <f>IF(OR(K19&lt;&gt;"",J19&lt;&gt;""),"是",IF(OR(G19&lt;&gt;"",F19&lt;&gt;""),"否",""))</f>
        <v/>
      </c>
      <c r="J19" s="42" t="n"/>
      <c r="K19" s="43" t="n"/>
      <c r="L19" s="45" t="n"/>
    </row>
    <row r="20" ht="15" customHeight="1" s="36">
      <c r="A20" s="39" t="n">
        <v>2</v>
      </c>
      <c r="B20" s="40" t="inlineStr">
        <is>
          <t>Sliding Window 滑动窗口</t>
        </is>
      </c>
      <c r="C20" s="39" t="n">
        <v>76</v>
      </c>
      <c r="D20" s="41" t="inlineStr">
        <is>
          <t>Minimum Window Substring</t>
        </is>
      </c>
      <c r="E20" s="39" t="inlineStr">
        <is>
          <t>Hard</t>
        </is>
      </c>
      <c r="F20" s="42" t="n"/>
      <c r="G20" s="43" t="n"/>
      <c r="H20" s="44" t="n"/>
      <c r="I20" s="39">
        <f>IF(OR(K20&lt;&gt;"",J20&lt;&gt;""),"是",IF(OR(G20&lt;&gt;"",F20&lt;&gt;""),"否",""))</f>
        <v/>
      </c>
      <c r="J20" s="42" t="n"/>
      <c r="K20" s="43" t="n"/>
      <c r="L20" s="45" t="n"/>
    </row>
    <row r="21" ht="15" customHeight="1" s="36">
      <c r="A21" s="39" t="n">
        <v>2</v>
      </c>
      <c r="B21" s="40" t="inlineStr">
        <is>
          <t>Sliding Window 滑动窗口</t>
        </is>
      </c>
      <c r="C21" s="39" t="n">
        <v>239</v>
      </c>
      <c r="D21" s="41" t="inlineStr">
        <is>
          <t>Sliding Window Maximum</t>
        </is>
      </c>
      <c r="E21" s="39" t="inlineStr">
        <is>
          <t>Hard</t>
        </is>
      </c>
      <c r="F21" s="42" t="n"/>
      <c r="G21" s="43" t="n"/>
      <c r="H21" s="44" t="n"/>
      <c r="I21" s="39">
        <f>IF(OR(K21&lt;&gt;"",J21&lt;&gt;""),"是",IF(OR(G21&lt;&gt;"",F21&lt;&gt;""),"否",""))</f>
        <v/>
      </c>
      <c r="J21" s="42" t="n"/>
      <c r="K21" s="43" t="n"/>
      <c r="L21" s="45" t="n"/>
    </row>
    <row r="22" ht="15" customHeight="1" s="36">
      <c r="A22" s="39" t="n">
        <v>2</v>
      </c>
      <c r="B22" s="40" t="inlineStr">
        <is>
          <t>Sliding Window 滑动窗口</t>
        </is>
      </c>
      <c r="C22" s="39" t="n">
        <v>438</v>
      </c>
      <c r="D22" s="41" t="inlineStr">
        <is>
          <t>Find All Anagrams in a String</t>
        </is>
      </c>
      <c r="E22" s="39" t="inlineStr">
        <is>
          <t>Medium</t>
        </is>
      </c>
      <c r="F22" s="42" t="n"/>
      <c r="G22" s="43" t="n"/>
      <c r="H22" s="44" t="n"/>
      <c r="I22" s="39">
        <f>IF(OR(K22&lt;&gt;"",J22&lt;&gt;""),"是",IF(OR(G22&lt;&gt;"",F22&lt;&gt;""),"否",""))</f>
        <v/>
      </c>
      <c r="J22" s="42" t="n"/>
      <c r="K22" s="43" t="n"/>
      <c r="L22" s="45" t="n"/>
    </row>
    <row r="23" ht="15" customHeight="1" s="36">
      <c r="A23" s="39" t="n">
        <v>2</v>
      </c>
      <c r="B23" s="40" t="inlineStr">
        <is>
          <t>Stack 栈</t>
        </is>
      </c>
      <c r="C23" s="39" t="n">
        <v>20</v>
      </c>
      <c r="D23" s="41" t="inlineStr">
        <is>
          <t>Valid Parentheses</t>
        </is>
      </c>
      <c r="E23" s="39" t="inlineStr">
        <is>
          <t>Easy</t>
        </is>
      </c>
      <c r="F23" s="42" t="n"/>
      <c r="G23" s="43" t="n"/>
      <c r="H23" s="44" t="n"/>
      <c r="I23" s="39">
        <f>IF(OR(K23&lt;&gt;"",J23&lt;&gt;""),"是",IF(OR(G23&lt;&gt;"",F23&lt;&gt;""),"否",""))</f>
        <v/>
      </c>
      <c r="J23" s="42" t="n"/>
      <c r="K23" s="43" t="n"/>
      <c r="L23" s="45" t="n"/>
    </row>
    <row r="24" ht="15" customHeight="1" s="36">
      <c r="A24" s="39" t="n">
        <v>2</v>
      </c>
      <c r="B24" s="40" t="inlineStr">
        <is>
          <t>Stack 栈</t>
        </is>
      </c>
      <c r="C24" s="39" t="n">
        <v>232</v>
      </c>
      <c r="D24" s="41" t="inlineStr">
        <is>
          <t>Implement Queue using Stacks</t>
        </is>
      </c>
      <c r="E24" s="39" t="inlineStr">
        <is>
          <t>Easy</t>
        </is>
      </c>
      <c r="F24" s="42" t="n"/>
      <c r="G24" s="43" t="n"/>
      <c r="H24" s="44" t="n"/>
      <c r="I24" s="39">
        <f>IF(OR(K24&lt;&gt;"",J24&lt;&gt;""),"是",IF(OR(G24&lt;&gt;"",F24&lt;&gt;""),"否",""))</f>
        <v/>
      </c>
      <c r="J24" s="42" t="n"/>
      <c r="K24" s="43" t="n"/>
      <c r="L24" s="45" t="n"/>
    </row>
    <row r="25" ht="15" customHeight="1" s="36">
      <c r="A25" s="39" t="n">
        <v>2</v>
      </c>
      <c r="B25" s="40" t="inlineStr">
        <is>
          <t>Stack 栈</t>
        </is>
      </c>
      <c r="C25" s="39" t="n">
        <v>155</v>
      </c>
      <c r="D25" s="41" t="inlineStr">
        <is>
          <t>Min Stack</t>
        </is>
      </c>
      <c r="E25" s="39" t="inlineStr">
        <is>
          <t>Medium</t>
        </is>
      </c>
      <c r="F25" s="42" t="n"/>
      <c r="G25" s="43" t="n"/>
      <c r="H25" s="44" t="n"/>
      <c r="I25" s="39">
        <f>IF(OR(K25&lt;&gt;"",J25&lt;&gt;""),"是",IF(OR(G25&lt;&gt;"",F25&lt;&gt;""),"否",""))</f>
        <v/>
      </c>
      <c r="J25" s="42" t="n"/>
      <c r="K25" s="43" t="n"/>
      <c r="L25" s="45" t="n"/>
    </row>
    <row r="26" ht="15" customHeight="1" s="36">
      <c r="A26" s="39" t="n">
        <v>2</v>
      </c>
      <c r="B26" s="40" t="inlineStr">
        <is>
          <t>Stack 栈</t>
        </is>
      </c>
      <c r="C26" s="39" t="n">
        <v>150</v>
      </c>
      <c r="D26" s="41" t="inlineStr">
        <is>
          <t>Evaluate Reverse Polish Notation</t>
        </is>
      </c>
      <c r="E26" s="39" t="inlineStr">
        <is>
          <t>Medium</t>
        </is>
      </c>
      <c r="F26" s="42" t="n"/>
      <c r="G26" s="43" t="n"/>
      <c r="H26" s="44" t="n"/>
      <c r="I26" s="39">
        <f>IF(OR(K26&lt;&gt;"",J26&lt;&gt;""),"是",IF(OR(G26&lt;&gt;"",F26&lt;&gt;""),"否",""))</f>
        <v/>
      </c>
      <c r="J26" s="42" t="n"/>
      <c r="K26" s="43" t="n"/>
      <c r="L26" s="45" t="n"/>
    </row>
    <row r="27" ht="15" customHeight="1" s="36">
      <c r="A27" s="39" t="n">
        <v>2</v>
      </c>
      <c r="B27" s="40" t="inlineStr">
        <is>
          <t>Stack 栈</t>
        </is>
      </c>
      <c r="C27" s="39" t="n">
        <v>22</v>
      </c>
      <c r="D27" s="41" t="inlineStr">
        <is>
          <t>Generate Parentheses</t>
        </is>
      </c>
      <c r="E27" s="39" t="inlineStr">
        <is>
          <t>Medium</t>
        </is>
      </c>
      <c r="F27" s="42" t="n"/>
      <c r="G27" s="43" t="n"/>
      <c r="H27" s="44" t="n"/>
      <c r="I27" s="39">
        <f>IF(OR(K27&lt;&gt;"",J27&lt;&gt;""),"是",IF(OR(G27&lt;&gt;"",F27&lt;&gt;""),"否",""))</f>
        <v/>
      </c>
      <c r="J27" s="42" t="n"/>
      <c r="K27" s="43" t="n"/>
      <c r="L27" s="45" t="n"/>
    </row>
    <row r="28" ht="15" customHeight="1" s="36">
      <c r="A28" s="39" t="n">
        <v>2</v>
      </c>
      <c r="B28" s="40" t="inlineStr">
        <is>
          <t>Stack 栈</t>
        </is>
      </c>
      <c r="C28" s="39" t="n">
        <v>739</v>
      </c>
      <c r="D28" s="41" t="inlineStr">
        <is>
          <t>Daily Temperatures</t>
        </is>
      </c>
      <c r="E28" s="39" t="inlineStr">
        <is>
          <t>Medium</t>
        </is>
      </c>
      <c r="F28" s="42" t="n"/>
      <c r="G28" s="43" t="n"/>
      <c r="H28" s="44" t="n"/>
      <c r="I28" s="39">
        <f>IF(OR(K28&lt;&gt;"",J28&lt;&gt;""),"是",IF(OR(G28&lt;&gt;"",F28&lt;&gt;""),"否",""))</f>
        <v/>
      </c>
      <c r="J28" s="42" t="n"/>
      <c r="K28" s="43" t="n"/>
      <c r="L28" s="45" t="n"/>
    </row>
    <row r="29" ht="15" customHeight="1" s="36">
      <c r="A29" s="39" t="n">
        <v>2</v>
      </c>
      <c r="B29" s="40" t="inlineStr">
        <is>
          <t>Stack 栈</t>
        </is>
      </c>
      <c r="C29" s="39" t="n">
        <v>853</v>
      </c>
      <c r="D29" s="41" t="inlineStr">
        <is>
          <t>Car Fleet</t>
        </is>
      </c>
      <c r="E29" s="39" t="inlineStr">
        <is>
          <t>Medium</t>
        </is>
      </c>
      <c r="F29" s="42" t="n"/>
      <c r="G29" s="43" t="n"/>
      <c r="H29" s="44" t="n"/>
      <c r="I29" s="39">
        <f>IF(OR(K29&lt;&gt;"",J29&lt;&gt;""),"是",IF(OR(G29&lt;&gt;"",F29&lt;&gt;""),"否",""))</f>
        <v/>
      </c>
      <c r="J29" s="42" t="n"/>
      <c r="K29" s="43" t="n"/>
      <c r="L29" s="45" t="n"/>
    </row>
    <row r="30" ht="15" customHeight="1" s="36">
      <c r="A30" s="39" t="n">
        <v>2</v>
      </c>
      <c r="B30" s="40" t="inlineStr">
        <is>
          <t>Stack 栈</t>
        </is>
      </c>
      <c r="C30" s="39" t="n">
        <v>84</v>
      </c>
      <c r="D30" s="41" t="inlineStr">
        <is>
          <t>Largest Rectangle in Histogram</t>
        </is>
      </c>
      <c r="E30" s="39" t="inlineStr">
        <is>
          <t>Hard</t>
        </is>
      </c>
      <c r="F30" s="42" t="n"/>
      <c r="G30" s="43" t="n"/>
      <c r="H30" s="44" t="n"/>
      <c r="I30" s="39">
        <f>IF(OR(K30&lt;&gt;"",J30&lt;&gt;""),"是",IF(OR(G30&lt;&gt;"",F30&lt;&gt;""),"否",""))</f>
        <v/>
      </c>
      <c r="J30" s="42" t="n"/>
      <c r="K30" s="43" t="n"/>
      <c r="L30" s="45" t="n"/>
    </row>
    <row r="31" ht="15" customHeight="1" s="36">
      <c r="A31" s="39" t="n">
        <v>2</v>
      </c>
      <c r="B31" s="40" t="inlineStr">
        <is>
          <t>Stack 栈</t>
        </is>
      </c>
      <c r="C31" s="39" t="n">
        <v>224</v>
      </c>
      <c r="D31" s="41" t="inlineStr">
        <is>
          <t>Basic Calculator</t>
        </is>
      </c>
      <c r="E31" s="39" t="inlineStr">
        <is>
          <t>Hard</t>
        </is>
      </c>
      <c r="F31" s="42" t="n"/>
      <c r="G31" s="43" t="n"/>
      <c r="H31" s="44" t="n"/>
      <c r="I31" s="39">
        <f>IF(OR(K31&lt;&gt;"",J31&lt;&gt;""),"是",IF(OR(G31&lt;&gt;"",F31&lt;&gt;""),"否",""))</f>
        <v/>
      </c>
      <c r="J31" s="42" t="n"/>
      <c r="K31" s="43" t="n"/>
      <c r="L31" s="45" t="n"/>
    </row>
    <row r="32" ht="15" customHeight="1" s="36">
      <c r="A32" s="39" t="n">
        <v>3</v>
      </c>
      <c r="B32" s="40" t="inlineStr">
        <is>
          <t>Binary Search 二分查找</t>
        </is>
      </c>
      <c r="C32" s="39" t="n">
        <v>704</v>
      </c>
      <c r="D32" s="41" t="inlineStr">
        <is>
          <t>Binary Search</t>
        </is>
      </c>
      <c r="E32" s="39" t="inlineStr">
        <is>
          <t>Easy</t>
        </is>
      </c>
      <c r="F32" s="42" t="n"/>
      <c r="G32" s="43" t="n"/>
      <c r="H32" s="44" t="n"/>
      <c r="I32" s="39">
        <f>IF(OR(K32&lt;&gt;"",J32&lt;&gt;""),"是",IF(OR(G32&lt;&gt;"",F32&lt;&gt;""),"否",""))</f>
        <v/>
      </c>
      <c r="J32" s="42" t="n"/>
      <c r="K32" s="43" t="n"/>
      <c r="L32" s="45" t="n"/>
    </row>
    <row r="33" ht="15" customHeight="1" s="36">
      <c r="A33" s="39" t="n">
        <v>3</v>
      </c>
      <c r="B33" s="40" t="inlineStr">
        <is>
          <t>Binary Search 二分查找</t>
        </is>
      </c>
      <c r="C33" s="39" t="n">
        <v>278</v>
      </c>
      <c r="D33" s="41" t="inlineStr">
        <is>
          <t>First Bad Version</t>
        </is>
      </c>
      <c r="E33" s="39" t="inlineStr">
        <is>
          <t>Easy</t>
        </is>
      </c>
      <c r="F33" s="42" t="n"/>
      <c r="G33" s="43" t="n"/>
      <c r="H33" s="44" t="n"/>
      <c r="I33" s="39">
        <f>IF(OR(K33&lt;&gt;"",J33&lt;&gt;""),"是",IF(OR(G33&lt;&gt;"",F33&lt;&gt;""),"否",""))</f>
        <v/>
      </c>
      <c r="J33" s="42" t="n"/>
      <c r="K33" s="43" t="n"/>
      <c r="L33" s="45" t="n"/>
    </row>
    <row r="34" ht="15" customHeight="1" s="36">
      <c r="A34" s="39" t="n">
        <v>3</v>
      </c>
      <c r="B34" s="40" t="inlineStr">
        <is>
          <t>Binary Search 二分查找</t>
        </is>
      </c>
      <c r="C34" s="39" t="n">
        <v>74</v>
      </c>
      <c r="D34" s="41" t="inlineStr">
        <is>
          <t>Search a 2D Matrix</t>
        </is>
      </c>
      <c r="E34" s="39" t="inlineStr">
        <is>
          <t>Medium</t>
        </is>
      </c>
      <c r="F34" s="42" t="n"/>
      <c r="G34" s="43" t="n"/>
      <c r="H34" s="44" t="n"/>
      <c r="I34" s="39">
        <f>IF(OR(K34&lt;&gt;"",J34&lt;&gt;""),"是",IF(OR(G34&lt;&gt;"",F34&lt;&gt;""),"否",""))</f>
        <v/>
      </c>
      <c r="J34" s="42" t="n"/>
      <c r="K34" s="43" t="n"/>
      <c r="L34" s="45" t="n"/>
    </row>
    <row r="35" ht="15" customHeight="1" s="36">
      <c r="A35" s="39" t="n">
        <v>3</v>
      </c>
      <c r="B35" s="40" t="inlineStr">
        <is>
          <t>Binary Search 二分查找</t>
        </is>
      </c>
      <c r="C35" s="39" t="n">
        <v>875</v>
      </c>
      <c r="D35" s="41" t="inlineStr">
        <is>
          <t>Koko Eating Bananas</t>
        </is>
      </c>
      <c r="E35" s="39" t="inlineStr">
        <is>
          <t>Medium</t>
        </is>
      </c>
      <c r="F35" s="42" t="n"/>
      <c r="G35" s="43" t="n"/>
      <c r="H35" s="44" t="n"/>
      <c r="I35" s="39">
        <f>IF(OR(K35&lt;&gt;"",J35&lt;&gt;""),"是",IF(OR(G35&lt;&gt;"",F35&lt;&gt;""),"否",""))</f>
        <v/>
      </c>
      <c r="J35" s="42" t="n"/>
      <c r="K35" s="43" t="n"/>
      <c r="L35" s="45" t="n"/>
    </row>
    <row r="36" ht="15" customHeight="1" s="36">
      <c r="A36" s="39" t="n">
        <v>3</v>
      </c>
      <c r="B36" s="40" t="inlineStr">
        <is>
          <t>Binary Search 二分查找</t>
        </is>
      </c>
      <c r="C36" s="39" t="n">
        <v>153</v>
      </c>
      <c r="D36" s="41" t="inlineStr">
        <is>
          <t>Find Minimum in Rotated Sorted Array</t>
        </is>
      </c>
      <c r="E36" s="39" t="inlineStr">
        <is>
          <t>Medium</t>
        </is>
      </c>
      <c r="F36" s="42" t="n"/>
      <c r="G36" s="43" t="n"/>
      <c r="H36" s="44" t="n"/>
      <c r="I36" s="39">
        <f>IF(OR(K36&lt;&gt;"",J36&lt;&gt;""),"是",IF(OR(G36&lt;&gt;"",F36&lt;&gt;""),"否",""))</f>
        <v/>
      </c>
      <c r="J36" s="42" t="n"/>
      <c r="K36" s="43" t="n"/>
      <c r="L36" s="45" t="n"/>
    </row>
    <row r="37" ht="15" customHeight="1" s="36">
      <c r="A37" s="39" t="n">
        <v>3</v>
      </c>
      <c r="B37" s="40" t="inlineStr">
        <is>
          <t>Binary Search 二分查找</t>
        </is>
      </c>
      <c r="C37" s="39" t="n">
        <v>33</v>
      </c>
      <c r="D37" s="41" t="inlineStr">
        <is>
          <t>Search in Rotated Sorted Array</t>
        </is>
      </c>
      <c r="E37" s="39" t="inlineStr">
        <is>
          <t>Medium</t>
        </is>
      </c>
      <c r="F37" s="42" t="n"/>
      <c r="G37" s="43" t="n"/>
      <c r="H37" s="44" t="n"/>
      <c r="I37" s="39">
        <f>IF(OR(K37&lt;&gt;"",J37&lt;&gt;""),"是",IF(OR(G37&lt;&gt;"",F37&lt;&gt;""),"否",""))</f>
        <v/>
      </c>
      <c r="J37" s="42" t="n"/>
      <c r="K37" s="43" t="n"/>
      <c r="L37" s="45" t="n"/>
    </row>
    <row r="38" ht="15" customHeight="1" s="36">
      <c r="A38" s="39" t="n">
        <v>3</v>
      </c>
      <c r="B38" s="40" t="inlineStr">
        <is>
          <t>Binary Search 二分查找</t>
        </is>
      </c>
      <c r="C38" s="39" t="n">
        <v>981</v>
      </c>
      <c r="D38" s="41" t="inlineStr">
        <is>
          <t>Time Based Key-Value Store</t>
        </is>
      </c>
      <c r="E38" s="39" t="inlineStr">
        <is>
          <t>Medium</t>
        </is>
      </c>
      <c r="F38" s="42" t="n"/>
      <c r="G38" s="43" t="n"/>
      <c r="H38" s="44" t="n"/>
      <c r="I38" s="39">
        <f>IF(OR(K38&lt;&gt;"",J38&lt;&gt;""),"是",IF(OR(G38&lt;&gt;"",F38&lt;&gt;""),"否",""))</f>
        <v/>
      </c>
      <c r="J38" s="42" t="n"/>
      <c r="K38" s="43" t="n"/>
      <c r="L38" s="45" t="n"/>
    </row>
    <row r="39" ht="15" customHeight="1" s="36">
      <c r="A39" s="39" t="n">
        <v>3</v>
      </c>
      <c r="B39" s="40" t="inlineStr">
        <is>
          <t>Binary Search 二分查找</t>
        </is>
      </c>
      <c r="C39" s="39" t="n">
        <v>4</v>
      </c>
      <c r="D39" s="41" t="inlineStr">
        <is>
          <t>Median of Two Sorted Arrays</t>
        </is>
      </c>
      <c r="E39" s="39" t="inlineStr">
        <is>
          <t>Hard</t>
        </is>
      </c>
      <c r="F39" s="42" t="n"/>
      <c r="G39" s="43" t="n"/>
      <c r="H39" s="44" t="n"/>
      <c r="I39" s="39">
        <f>IF(OR(K39&lt;&gt;"",J39&lt;&gt;""),"是",IF(OR(G39&lt;&gt;"",F39&lt;&gt;""),"否",""))</f>
        <v/>
      </c>
      <c r="J39" s="42" t="n"/>
      <c r="K39" s="43" t="n"/>
      <c r="L39" s="45" t="n"/>
    </row>
    <row r="40" ht="15" customHeight="1" s="36">
      <c r="A40" s="39" t="n">
        <v>3</v>
      </c>
      <c r="B40" s="40" t="inlineStr">
        <is>
          <t>Linked List 链表</t>
        </is>
      </c>
      <c r="C40" s="39" t="n">
        <v>21</v>
      </c>
      <c r="D40" s="41" t="inlineStr">
        <is>
          <t>Merge Two Sorted Lists</t>
        </is>
      </c>
      <c r="E40" s="39" t="inlineStr">
        <is>
          <t>Easy</t>
        </is>
      </c>
      <c r="F40" s="42" t="n"/>
      <c r="G40" s="43" t="n"/>
      <c r="H40" s="44" t="n"/>
      <c r="I40" s="39">
        <f>IF(OR(K40&lt;&gt;"",J40&lt;&gt;""),"是",IF(OR(G40&lt;&gt;"",F40&lt;&gt;""),"否",""))</f>
        <v/>
      </c>
      <c r="J40" s="42" t="n"/>
      <c r="K40" s="43" t="n"/>
      <c r="L40" s="45" t="n"/>
    </row>
    <row r="41" ht="15" customHeight="1" s="36">
      <c r="A41" s="39" t="n">
        <v>3</v>
      </c>
      <c r="B41" s="40" t="inlineStr">
        <is>
          <t>Linked List 链表</t>
        </is>
      </c>
      <c r="C41" s="39" t="n">
        <v>876</v>
      </c>
      <c r="D41" s="41" t="inlineStr">
        <is>
          <t>Middle of the Linked List</t>
        </is>
      </c>
      <c r="E41" s="39" t="inlineStr">
        <is>
          <t>Easy</t>
        </is>
      </c>
      <c r="F41" s="42" t="n"/>
      <c r="G41" s="43" t="n"/>
      <c r="H41" s="44" t="n"/>
      <c r="I41" s="39">
        <f>IF(OR(K41&lt;&gt;"",J41&lt;&gt;""),"是",IF(OR(G41&lt;&gt;"",F41&lt;&gt;""),"否",""))</f>
        <v/>
      </c>
      <c r="J41" s="42" t="n"/>
      <c r="K41" s="43" t="n"/>
      <c r="L41" s="45" t="n"/>
    </row>
    <row r="42" ht="15" customHeight="1" s="36">
      <c r="A42" s="39" t="n">
        <v>3</v>
      </c>
      <c r="B42" s="40" t="inlineStr">
        <is>
          <t>Linked List 链表</t>
        </is>
      </c>
      <c r="C42" s="39" t="n">
        <v>143</v>
      </c>
      <c r="D42" s="41" t="inlineStr">
        <is>
          <t>Reorder List</t>
        </is>
      </c>
      <c r="E42" s="39" t="inlineStr">
        <is>
          <t>Medium</t>
        </is>
      </c>
      <c r="F42" s="42" t="n"/>
      <c r="G42" s="43" t="n"/>
      <c r="H42" s="44" t="n"/>
      <c r="I42" s="39">
        <f>IF(OR(K42&lt;&gt;"",J42&lt;&gt;""),"是",IF(OR(G42&lt;&gt;"",F42&lt;&gt;""),"否",""))</f>
        <v/>
      </c>
      <c r="J42" s="42" t="n"/>
      <c r="K42" s="43" t="n"/>
      <c r="L42" s="45" t="n"/>
    </row>
    <row r="43" ht="15" customHeight="1" s="36">
      <c r="A43" s="39" t="n">
        <v>3</v>
      </c>
      <c r="B43" s="40" t="inlineStr">
        <is>
          <t>Linked List 链表</t>
        </is>
      </c>
      <c r="C43" s="39" t="n">
        <v>19</v>
      </c>
      <c r="D43" s="41" t="inlineStr">
        <is>
          <t>Remove Nth Node From End of List</t>
        </is>
      </c>
      <c r="E43" s="39" t="inlineStr">
        <is>
          <t>Medium</t>
        </is>
      </c>
      <c r="F43" s="42" t="n"/>
      <c r="G43" s="43" t="n"/>
      <c r="H43" s="44" t="n"/>
      <c r="I43" s="39">
        <f>IF(OR(K43&lt;&gt;"",J43&lt;&gt;""),"是",IF(OR(G43&lt;&gt;"",F43&lt;&gt;""),"否",""))</f>
        <v/>
      </c>
      <c r="J43" s="42" t="n"/>
      <c r="K43" s="43" t="n"/>
      <c r="L43" s="45" t="n"/>
    </row>
    <row r="44" ht="15" customHeight="1" s="36">
      <c r="A44" s="39" t="n">
        <v>3</v>
      </c>
      <c r="B44" s="40" t="inlineStr">
        <is>
          <t>Linked List 链表</t>
        </is>
      </c>
      <c r="C44" s="39" t="n">
        <v>138</v>
      </c>
      <c r="D44" s="41" t="inlineStr">
        <is>
          <t>Copy List with Random Pointer</t>
        </is>
      </c>
      <c r="E44" s="39" t="inlineStr">
        <is>
          <t>Medium</t>
        </is>
      </c>
      <c r="F44" s="42" t="n"/>
      <c r="G44" s="43" t="n"/>
      <c r="H44" s="44" t="n"/>
      <c r="I44" s="39">
        <f>IF(OR(K44&lt;&gt;"",J44&lt;&gt;""),"是",IF(OR(G44&lt;&gt;"",F44&lt;&gt;""),"否",""))</f>
        <v/>
      </c>
      <c r="J44" s="42" t="n"/>
      <c r="K44" s="43" t="n"/>
      <c r="L44" s="45" t="n"/>
    </row>
    <row r="45" ht="15" customHeight="1" s="36">
      <c r="A45" s="39" t="n">
        <v>3</v>
      </c>
      <c r="B45" s="40" t="inlineStr">
        <is>
          <t>Linked List 链表</t>
        </is>
      </c>
      <c r="C45" s="39" t="n">
        <v>2</v>
      </c>
      <c r="D45" s="41" t="inlineStr">
        <is>
          <t>Add Two Numbers</t>
        </is>
      </c>
      <c r="E45" s="39" t="inlineStr">
        <is>
          <t>Medium</t>
        </is>
      </c>
      <c r="F45" s="42" t="n"/>
      <c r="G45" s="43" t="n"/>
      <c r="H45" s="44" t="n"/>
      <c r="I45" s="39">
        <f>IF(OR(K45&lt;&gt;"",J45&lt;&gt;""),"是",IF(OR(G45&lt;&gt;"",F45&lt;&gt;""),"否",""))</f>
        <v/>
      </c>
      <c r="J45" s="42" t="n"/>
      <c r="K45" s="43" t="n"/>
      <c r="L45" s="45" t="n"/>
    </row>
    <row r="46" ht="15" customHeight="1" s="36">
      <c r="A46" s="39" t="n">
        <v>3</v>
      </c>
      <c r="B46" s="40" t="inlineStr">
        <is>
          <t>Linked List 链表</t>
        </is>
      </c>
      <c r="C46" s="39" t="n">
        <v>141</v>
      </c>
      <c r="D46" s="41" t="inlineStr">
        <is>
          <t>Linked List Cycle</t>
        </is>
      </c>
      <c r="E46" s="39" t="inlineStr">
        <is>
          <t>Easy</t>
        </is>
      </c>
      <c r="F46" s="42" t="n"/>
      <c r="G46" s="43" t="n"/>
      <c r="H46" s="44" t="n"/>
      <c r="I46" s="39">
        <f>IF(OR(K46&lt;&gt;"",J46&lt;&gt;""),"是",IF(OR(G46&lt;&gt;"",F46&lt;&gt;""),"否",""))</f>
        <v/>
      </c>
      <c r="J46" s="42" t="n"/>
      <c r="K46" s="43" t="n"/>
      <c r="L46" s="45" t="n"/>
    </row>
    <row r="47" ht="15" customHeight="1" s="36">
      <c r="A47" s="39" t="n">
        <v>3</v>
      </c>
      <c r="B47" s="40" t="inlineStr">
        <is>
          <t>Linked List 链表</t>
        </is>
      </c>
      <c r="C47" s="39" t="n">
        <v>146</v>
      </c>
      <c r="D47" s="41" t="inlineStr">
        <is>
          <t>LRU Cache</t>
        </is>
      </c>
      <c r="E47" s="39" t="inlineStr">
        <is>
          <t>Medium</t>
        </is>
      </c>
      <c r="F47" s="42" t="n"/>
      <c r="G47" s="43" t="n"/>
      <c r="H47" s="44" t="n"/>
      <c r="I47" s="39">
        <f>IF(OR(K47&lt;&gt;"",J47&lt;&gt;""),"是",IF(OR(G47&lt;&gt;"",F47&lt;&gt;""),"否",""))</f>
        <v/>
      </c>
      <c r="J47" s="42" t="n"/>
      <c r="K47" s="43" t="n"/>
      <c r="L47" s="45" t="n"/>
    </row>
    <row r="48" ht="15" customHeight="1" s="36">
      <c r="A48" s="39" t="n">
        <v>3</v>
      </c>
      <c r="B48" s="40" t="inlineStr">
        <is>
          <t>Linked List 链表</t>
        </is>
      </c>
      <c r="C48" s="39" t="n">
        <v>23</v>
      </c>
      <c r="D48" s="41" t="inlineStr">
        <is>
          <t>Merge k Sorted Lists</t>
        </is>
      </c>
      <c r="E48" s="39" t="inlineStr">
        <is>
          <t>Hard</t>
        </is>
      </c>
      <c r="F48" s="42" t="n"/>
      <c r="G48" s="43" t="n"/>
      <c r="H48" s="44" t="n"/>
      <c r="I48" s="39">
        <f>IF(OR(K48&lt;&gt;"",J48&lt;&gt;""),"是",IF(OR(G48&lt;&gt;"",F48&lt;&gt;""),"否",""))</f>
        <v/>
      </c>
      <c r="J48" s="42" t="n"/>
      <c r="K48" s="43" t="n"/>
      <c r="L48" s="45" t="n"/>
    </row>
    <row r="49" ht="15" customHeight="1" s="36">
      <c r="A49" s="39" t="n">
        <v>3</v>
      </c>
      <c r="B49" s="40" t="inlineStr">
        <is>
          <t>Linked List 链表</t>
        </is>
      </c>
      <c r="C49" s="39" t="n">
        <v>25</v>
      </c>
      <c r="D49" s="41" t="inlineStr">
        <is>
          <t>Reverse Nodes in k-Group</t>
        </is>
      </c>
      <c r="E49" s="39" t="inlineStr">
        <is>
          <t>Hard</t>
        </is>
      </c>
      <c r="F49" s="42" t="n"/>
      <c r="G49" s="43" t="n"/>
      <c r="H49" s="44" t="n"/>
      <c r="I49" s="39">
        <f>IF(OR(K49&lt;&gt;"",J49&lt;&gt;""),"是",IF(OR(G49&lt;&gt;"",F49&lt;&gt;""),"否",""))</f>
        <v/>
      </c>
      <c r="J49" s="42" t="n"/>
      <c r="K49" s="43" t="n"/>
      <c r="L49" s="45" t="n"/>
    </row>
    <row r="50" ht="15" customHeight="1" s="36">
      <c r="A50" s="39" t="n">
        <v>3</v>
      </c>
      <c r="B50" s="40" t="inlineStr">
        <is>
          <t>Linked List 链表</t>
        </is>
      </c>
      <c r="C50" s="39" t="n">
        <v>92</v>
      </c>
      <c r="D50" s="41" t="inlineStr">
        <is>
          <t>Reverse Linked List II</t>
        </is>
      </c>
      <c r="E50" s="39" t="inlineStr">
        <is>
          <t>Medium</t>
        </is>
      </c>
      <c r="F50" s="42" t="n"/>
      <c r="G50" s="43" t="n"/>
      <c r="H50" s="44" t="n"/>
      <c r="I50" s="39">
        <f>IF(OR(K50&lt;&gt;"",J50&lt;&gt;""),"是",IF(OR(G50&lt;&gt;"",F50&lt;&gt;""),"否",""))</f>
        <v/>
      </c>
      <c r="J50" s="42" t="n"/>
      <c r="K50" s="43" t="n"/>
      <c r="L50" s="45" t="n"/>
    </row>
    <row r="51" ht="15" customHeight="1" s="36">
      <c r="A51" s="39" t="n">
        <v>4</v>
      </c>
      <c r="B51" s="40" t="inlineStr">
        <is>
          <t>Trees 二叉树</t>
        </is>
      </c>
      <c r="C51" s="39" t="n">
        <v>226</v>
      </c>
      <c r="D51" s="41" t="inlineStr">
        <is>
          <t>Invert Binary Tree</t>
        </is>
      </c>
      <c r="E51" s="39" t="inlineStr">
        <is>
          <t>Easy</t>
        </is>
      </c>
      <c r="F51" s="42" t="n"/>
      <c r="G51" s="43" t="n"/>
      <c r="H51" s="44" t="n"/>
      <c r="I51" s="39">
        <f>IF(OR(K51&lt;&gt;"",J51&lt;&gt;""),"是",IF(OR(G51&lt;&gt;"",F51&lt;&gt;""),"否",""))</f>
        <v/>
      </c>
      <c r="J51" s="42" t="n"/>
      <c r="K51" s="43" t="n"/>
      <c r="L51" s="45" t="n"/>
    </row>
    <row r="52" ht="15" customHeight="1" s="36">
      <c r="A52" s="39" t="n">
        <v>4</v>
      </c>
      <c r="B52" s="40" t="inlineStr">
        <is>
          <t>Trees 二叉树</t>
        </is>
      </c>
      <c r="C52" s="39" t="n">
        <v>104</v>
      </c>
      <c r="D52" s="41" t="inlineStr">
        <is>
          <t>Maximum Depth of Binary Tree</t>
        </is>
      </c>
      <c r="E52" s="39" t="inlineStr">
        <is>
          <t>Easy</t>
        </is>
      </c>
      <c r="F52" s="42" t="n"/>
      <c r="G52" s="43" t="n"/>
      <c r="H52" s="44" t="n"/>
      <c r="I52" s="39">
        <f>IF(OR(K52&lt;&gt;"",J52&lt;&gt;""),"是",IF(OR(G52&lt;&gt;"",F52&lt;&gt;""),"否",""))</f>
        <v/>
      </c>
      <c r="J52" s="42" t="n"/>
      <c r="K52" s="43" t="n"/>
      <c r="L52" s="45" t="n"/>
    </row>
    <row r="53" ht="15" customHeight="1" s="36">
      <c r="A53" s="39" t="n">
        <v>4</v>
      </c>
      <c r="B53" s="40" t="inlineStr">
        <is>
          <t>Trees 二叉树</t>
        </is>
      </c>
      <c r="C53" s="39" t="n">
        <v>543</v>
      </c>
      <c r="D53" s="41" t="inlineStr">
        <is>
          <t>Diameter of Binary Tree</t>
        </is>
      </c>
      <c r="E53" s="39" t="inlineStr">
        <is>
          <t>Easy</t>
        </is>
      </c>
      <c r="F53" s="42" t="n"/>
      <c r="G53" s="43" t="n"/>
      <c r="H53" s="44" t="n"/>
      <c r="I53" s="39">
        <f>IF(OR(K53&lt;&gt;"",J53&lt;&gt;""),"是",IF(OR(G53&lt;&gt;"",F53&lt;&gt;""),"否",""))</f>
        <v/>
      </c>
      <c r="J53" s="42" t="n"/>
      <c r="K53" s="43" t="n"/>
      <c r="L53" s="45" t="n"/>
    </row>
    <row r="54" ht="15" customHeight="1" s="36">
      <c r="A54" s="39" t="n">
        <v>4</v>
      </c>
      <c r="B54" s="40" t="inlineStr">
        <is>
          <t>Trees 二叉树</t>
        </is>
      </c>
      <c r="C54" s="39" t="n">
        <v>110</v>
      </c>
      <c r="D54" s="41" t="inlineStr">
        <is>
          <t>Balanced Binary Tree</t>
        </is>
      </c>
      <c r="E54" s="39" t="inlineStr">
        <is>
          <t>Easy</t>
        </is>
      </c>
      <c r="F54" s="42" t="n"/>
      <c r="G54" s="43" t="n"/>
      <c r="H54" s="44" t="n"/>
      <c r="I54" s="39">
        <f>IF(OR(K54&lt;&gt;"",J54&lt;&gt;""),"是",IF(OR(G54&lt;&gt;"",F54&lt;&gt;""),"否",""))</f>
        <v/>
      </c>
      <c r="J54" s="42" t="n"/>
      <c r="K54" s="43" t="n"/>
      <c r="L54" s="45" t="n"/>
    </row>
    <row r="55" ht="15" customHeight="1" s="36">
      <c r="A55" s="39" t="n">
        <v>4</v>
      </c>
      <c r="B55" s="40" t="inlineStr">
        <is>
          <t>Trees 二叉树</t>
        </is>
      </c>
      <c r="C55" s="39" t="n">
        <v>100</v>
      </c>
      <c r="D55" s="41" t="inlineStr">
        <is>
          <t>Same Tree</t>
        </is>
      </c>
      <c r="E55" s="39" t="inlineStr">
        <is>
          <t>Easy</t>
        </is>
      </c>
      <c r="F55" s="42" t="n"/>
      <c r="G55" s="43" t="n"/>
      <c r="H55" s="44" t="n"/>
      <c r="I55" s="39">
        <f>IF(OR(K55&lt;&gt;"",J55&lt;&gt;""),"是",IF(OR(G55&lt;&gt;"",F55&lt;&gt;""),"否",""))</f>
        <v/>
      </c>
      <c r="J55" s="42" t="n"/>
      <c r="K55" s="43" t="n"/>
      <c r="L55" s="45" t="n"/>
    </row>
    <row r="56" ht="15" customHeight="1" s="36">
      <c r="A56" s="39" t="n">
        <v>4</v>
      </c>
      <c r="B56" s="40" t="inlineStr">
        <is>
          <t>Trees 二叉树</t>
        </is>
      </c>
      <c r="C56" s="39" t="n">
        <v>572</v>
      </c>
      <c r="D56" s="41" t="inlineStr">
        <is>
          <t>Subtree of Another Tree</t>
        </is>
      </c>
      <c r="E56" s="39" t="inlineStr">
        <is>
          <t>Easy</t>
        </is>
      </c>
      <c r="F56" s="42" t="n"/>
      <c r="G56" s="43" t="n"/>
      <c r="H56" s="44" t="n"/>
      <c r="I56" s="39">
        <f>IF(OR(K56&lt;&gt;"",J56&lt;&gt;""),"是",IF(OR(G56&lt;&gt;"",F56&lt;&gt;""),"否",""))</f>
        <v/>
      </c>
      <c r="J56" s="42" t="n"/>
      <c r="K56" s="43" t="n"/>
      <c r="L56" s="45" t="n"/>
    </row>
    <row r="57" ht="15" customHeight="1" s="36">
      <c r="A57" s="39" t="n">
        <v>4</v>
      </c>
      <c r="B57" s="40" t="inlineStr">
        <is>
          <t>Trees 二叉树</t>
        </is>
      </c>
      <c r="C57" s="39" t="n">
        <v>653</v>
      </c>
      <c r="D57" s="41" t="inlineStr">
        <is>
          <t>Two Sum IV - Input is a BST</t>
        </is>
      </c>
      <c r="E57" s="39" t="inlineStr">
        <is>
          <t>Easy</t>
        </is>
      </c>
      <c r="F57" s="42" t="n"/>
      <c r="G57" s="43" t="n"/>
      <c r="H57" s="44" t="n"/>
      <c r="I57" s="39">
        <f>IF(OR(K57&lt;&gt;"",J57&lt;&gt;""),"是",IF(OR(G57&lt;&gt;"",F57&lt;&gt;""),"否",""))</f>
        <v/>
      </c>
      <c r="J57" s="42" t="n"/>
      <c r="K57" s="43" t="n"/>
      <c r="L57" s="45" t="n"/>
    </row>
    <row r="58" ht="15" customHeight="1" s="36">
      <c r="A58" s="39" t="n">
        <v>4</v>
      </c>
      <c r="B58" s="40" t="inlineStr">
        <is>
          <t>Trees 二叉树</t>
        </is>
      </c>
      <c r="C58" s="39" t="n">
        <v>235</v>
      </c>
      <c r="D58" s="41" t="inlineStr">
        <is>
          <t>Lowest Common Ancestor of a Binary Search Tree</t>
        </is>
      </c>
      <c r="E58" s="39" t="inlineStr">
        <is>
          <t>Medium</t>
        </is>
      </c>
      <c r="F58" s="42" t="n"/>
      <c r="G58" s="43" t="n"/>
      <c r="H58" s="44" t="n"/>
      <c r="I58" s="39">
        <f>IF(OR(K58&lt;&gt;"",J58&lt;&gt;""),"是",IF(OR(G58&lt;&gt;"",F58&lt;&gt;""),"否",""))</f>
        <v/>
      </c>
      <c r="J58" s="42" t="n"/>
      <c r="K58" s="43" t="n"/>
      <c r="L58" s="45" t="n"/>
    </row>
    <row r="59" ht="15" customHeight="1" s="36">
      <c r="A59" s="39" t="n">
        <v>4</v>
      </c>
      <c r="B59" s="40" t="inlineStr">
        <is>
          <t>Trees 二叉树</t>
        </is>
      </c>
      <c r="C59" s="39" t="n">
        <v>102</v>
      </c>
      <c r="D59" s="41" t="inlineStr">
        <is>
          <t>Binary Tree Level Order Traversal</t>
        </is>
      </c>
      <c r="E59" s="39" t="inlineStr">
        <is>
          <t>Medium</t>
        </is>
      </c>
      <c r="F59" s="42" t="n"/>
      <c r="G59" s="43" t="n"/>
      <c r="H59" s="44" t="n"/>
      <c r="I59" s="39">
        <f>IF(OR(K59&lt;&gt;"",J59&lt;&gt;""),"是",IF(OR(G59&lt;&gt;"",F59&lt;&gt;""),"否",""))</f>
        <v/>
      </c>
      <c r="J59" s="42" t="n"/>
      <c r="K59" s="43" t="n"/>
      <c r="L59" s="45" t="n"/>
    </row>
    <row r="60" ht="15" customHeight="1" s="36">
      <c r="A60" s="39" t="n">
        <v>4</v>
      </c>
      <c r="B60" s="40" t="inlineStr">
        <is>
          <t>Trees 二叉树</t>
        </is>
      </c>
      <c r="C60" s="39" t="n">
        <v>199</v>
      </c>
      <c r="D60" s="41" t="inlineStr">
        <is>
          <t>Binary Tree Right Side View</t>
        </is>
      </c>
      <c r="E60" s="39" t="inlineStr">
        <is>
          <t>Medium</t>
        </is>
      </c>
      <c r="F60" s="42" t="n"/>
      <c r="G60" s="43" t="n"/>
      <c r="H60" s="44" t="n"/>
      <c r="I60" s="39">
        <f>IF(OR(K60&lt;&gt;"",J60&lt;&gt;""),"是",IF(OR(G60&lt;&gt;"",F60&lt;&gt;""),"否",""))</f>
        <v/>
      </c>
      <c r="J60" s="42" t="n"/>
      <c r="K60" s="43" t="n"/>
      <c r="L60" s="45" t="n"/>
    </row>
    <row r="61" ht="15" customHeight="1" s="36">
      <c r="A61" s="39" t="n">
        <v>4</v>
      </c>
      <c r="B61" s="40" t="inlineStr">
        <is>
          <t>Trees 二叉树</t>
        </is>
      </c>
      <c r="C61" s="39" t="n">
        <v>1448</v>
      </c>
      <c r="D61" s="41" t="inlineStr">
        <is>
          <t>Count Good Nodes in Binary Tree</t>
        </is>
      </c>
      <c r="E61" s="39" t="inlineStr">
        <is>
          <t>Medium</t>
        </is>
      </c>
      <c r="F61" s="42" t="n"/>
      <c r="G61" s="43" t="n"/>
      <c r="H61" s="44" t="n"/>
      <c r="I61" s="39">
        <f>IF(OR(K61&lt;&gt;"",J61&lt;&gt;""),"是",IF(OR(G61&lt;&gt;"",F61&lt;&gt;""),"否",""))</f>
        <v/>
      </c>
      <c r="J61" s="42" t="n"/>
      <c r="K61" s="43" t="n"/>
      <c r="L61" s="45" t="n"/>
    </row>
    <row r="62" ht="15" customHeight="1" s="36">
      <c r="A62" s="39" t="n">
        <v>4</v>
      </c>
      <c r="B62" s="40" t="inlineStr">
        <is>
          <t>Trees 二叉树</t>
        </is>
      </c>
      <c r="C62" s="39" t="n">
        <v>98</v>
      </c>
      <c r="D62" s="41" t="inlineStr">
        <is>
          <t>Validate Binary Search Tree</t>
        </is>
      </c>
      <c r="E62" s="39" t="inlineStr">
        <is>
          <t>Medium</t>
        </is>
      </c>
      <c r="F62" s="42" t="n"/>
      <c r="G62" s="43" t="n"/>
      <c r="H62" s="44" t="n"/>
      <c r="I62" s="39">
        <f>IF(OR(K62&lt;&gt;"",J62&lt;&gt;""),"是",IF(OR(G62&lt;&gt;"",F62&lt;&gt;""),"否",""))</f>
        <v/>
      </c>
      <c r="J62" s="42" t="n"/>
      <c r="K62" s="43" t="n"/>
      <c r="L62" s="45" t="n"/>
    </row>
    <row r="63" ht="15" customHeight="1" s="36">
      <c r="A63" s="39" t="n">
        <v>4</v>
      </c>
      <c r="B63" s="40" t="inlineStr">
        <is>
          <t>Trees 二叉树</t>
        </is>
      </c>
      <c r="C63" s="39" t="n">
        <v>230</v>
      </c>
      <c r="D63" s="41" t="inlineStr">
        <is>
          <t>Kth Smallest Element in a BST</t>
        </is>
      </c>
      <c r="E63" s="39" t="inlineStr">
        <is>
          <t>Medium</t>
        </is>
      </c>
      <c r="F63" s="42" t="n"/>
      <c r="G63" s="43" t="n"/>
      <c r="H63" s="44" t="n"/>
      <c r="I63" s="39">
        <f>IF(OR(K63&lt;&gt;"",J63&lt;&gt;""),"是",IF(OR(G63&lt;&gt;"",F63&lt;&gt;""),"否",""))</f>
        <v/>
      </c>
      <c r="J63" s="42" t="n"/>
      <c r="K63" s="43" t="n"/>
      <c r="L63" s="45" t="n"/>
    </row>
    <row r="64" ht="15" customHeight="1" s="36">
      <c r="A64" s="39" t="n">
        <v>4</v>
      </c>
      <c r="B64" s="40" t="inlineStr">
        <is>
          <t>Trees 二叉树</t>
        </is>
      </c>
      <c r="C64" s="39" t="n">
        <v>105</v>
      </c>
      <c r="D64" s="41" t="inlineStr">
        <is>
          <t>Construct Binary Tree from Preorder and Inorder Traversal</t>
        </is>
      </c>
      <c r="E64" s="39" t="inlineStr">
        <is>
          <t>Medium</t>
        </is>
      </c>
      <c r="F64" s="42" t="n"/>
      <c r="G64" s="43" t="n"/>
      <c r="H64" s="44" t="n"/>
      <c r="I64" s="39">
        <f>IF(OR(K64&lt;&gt;"",J64&lt;&gt;""),"是",IF(OR(G64&lt;&gt;"",F64&lt;&gt;""),"否",""))</f>
        <v/>
      </c>
      <c r="J64" s="42" t="n"/>
      <c r="K64" s="43" t="n"/>
      <c r="L64" s="45" t="n"/>
    </row>
    <row r="65" ht="15" customHeight="1" s="36">
      <c r="A65" s="39" t="n">
        <v>4</v>
      </c>
      <c r="B65" s="40" t="inlineStr">
        <is>
          <t>Trees 二叉树</t>
        </is>
      </c>
      <c r="C65" s="39" t="n">
        <v>124</v>
      </c>
      <c r="D65" s="41" t="inlineStr">
        <is>
          <t>Binary Tree Maximum Path Sum</t>
        </is>
      </c>
      <c r="E65" s="39" t="inlineStr">
        <is>
          <t>Hard</t>
        </is>
      </c>
      <c r="F65" s="42" t="n"/>
      <c r="G65" s="43" t="n"/>
      <c r="H65" s="44" t="n"/>
      <c r="I65" s="39">
        <f>IF(OR(K65&lt;&gt;"",J65&lt;&gt;""),"是",IF(OR(G65&lt;&gt;"",F65&lt;&gt;""),"否",""))</f>
        <v/>
      </c>
      <c r="J65" s="42" t="n"/>
      <c r="K65" s="43" t="n"/>
      <c r="L65" s="45" t="n"/>
    </row>
    <row r="66" ht="15" customHeight="1" s="36">
      <c r="A66" s="39" t="n">
        <v>4</v>
      </c>
      <c r="B66" s="40" t="inlineStr">
        <is>
          <t>Trees 二叉树</t>
        </is>
      </c>
      <c r="C66" s="39" t="n">
        <v>297</v>
      </c>
      <c r="D66" s="41" t="inlineStr">
        <is>
          <t>Serialize and Deserialize Binary Tree</t>
        </is>
      </c>
      <c r="E66" s="39" t="inlineStr">
        <is>
          <t>Hard</t>
        </is>
      </c>
      <c r="F66" s="42" t="n"/>
      <c r="G66" s="43" t="n"/>
      <c r="H66" s="44" t="n"/>
      <c r="I66" s="39">
        <f>IF(OR(K66&lt;&gt;"",J66&lt;&gt;""),"是",IF(OR(G66&lt;&gt;"",F66&lt;&gt;""),"否",""))</f>
        <v/>
      </c>
      <c r="J66" s="42" t="n"/>
      <c r="K66" s="43" t="n"/>
      <c r="L66" s="45" t="n"/>
    </row>
    <row r="67" ht="15" customHeight="1" s="36">
      <c r="A67" s="39" t="n">
        <v>4</v>
      </c>
      <c r="B67" s="40" t="inlineStr">
        <is>
          <t>Trees 二叉树</t>
        </is>
      </c>
      <c r="C67" s="39" t="n">
        <v>236</v>
      </c>
      <c r="D67" s="41" t="inlineStr">
        <is>
          <t>Lowest Common Ancestor of a Binary Tree</t>
        </is>
      </c>
      <c r="E67" s="39" t="inlineStr">
        <is>
          <t>Medium</t>
        </is>
      </c>
      <c r="F67" s="42" t="n"/>
      <c r="G67" s="43" t="n"/>
      <c r="H67" s="44" t="n"/>
      <c r="I67" s="39">
        <f>IF(OR(K67&lt;&gt;"",J67&lt;&gt;""),"是",IF(OR(G67&lt;&gt;"",F67&lt;&gt;""),"否",""))</f>
        <v/>
      </c>
      <c r="J67" s="42" t="n"/>
      <c r="K67" s="43" t="n"/>
      <c r="L67" s="45" t="n"/>
    </row>
    <row r="68" ht="15" customHeight="1" s="36">
      <c r="A68" s="39" t="n">
        <v>5</v>
      </c>
      <c r="B68" s="40" t="inlineStr">
        <is>
          <t>Tries 字典树</t>
        </is>
      </c>
      <c r="C68" s="39" t="n">
        <v>208</v>
      </c>
      <c r="D68" s="41" t="inlineStr">
        <is>
          <t>Implement Trie (Prefix Tree)</t>
        </is>
      </c>
      <c r="E68" s="39" t="inlineStr">
        <is>
          <t>Medium</t>
        </is>
      </c>
      <c r="F68" s="42" t="n"/>
      <c r="G68" s="43" t="n"/>
      <c r="H68" s="44" t="n"/>
      <c r="I68" s="39">
        <f>IF(OR(K68&lt;&gt;"",J68&lt;&gt;""),"是",IF(OR(G68&lt;&gt;"",F68&lt;&gt;""),"否",""))</f>
        <v/>
      </c>
      <c r="J68" s="42" t="n"/>
      <c r="K68" s="43" t="n"/>
      <c r="L68" s="45" t="n"/>
    </row>
    <row r="69" ht="15" customHeight="1" s="36">
      <c r="A69" s="39" t="n">
        <v>5</v>
      </c>
      <c r="B69" s="40" t="inlineStr">
        <is>
          <t>Tries 字典树</t>
        </is>
      </c>
      <c r="C69" s="39" t="n">
        <v>211</v>
      </c>
      <c r="D69" s="41" t="inlineStr">
        <is>
          <t>Design Add and Search Words Data Structure</t>
        </is>
      </c>
      <c r="E69" s="39" t="inlineStr">
        <is>
          <t>Medium</t>
        </is>
      </c>
      <c r="F69" s="42" t="n"/>
      <c r="G69" s="43" t="n"/>
      <c r="H69" s="44" t="n"/>
      <c r="I69" s="39">
        <f>IF(OR(K69&lt;&gt;"",J69&lt;&gt;""),"是",IF(OR(G69&lt;&gt;"",F69&lt;&gt;""),"否",""))</f>
        <v/>
      </c>
      <c r="J69" s="42" t="n"/>
      <c r="K69" s="43" t="n"/>
      <c r="L69" s="45" t="n"/>
    </row>
    <row r="70" ht="15" customHeight="1" s="36">
      <c r="A70" s="39" t="n">
        <v>5</v>
      </c>
      <c r="B70" s="40" t="inlineStr">
        <is>
          <t>Tries 字典树</t>
        </is>
      </c>
      <c r="C70" s="39" t="n">
        <v>212</v>
      </c>
      <c r="D70" s="41" t="inlineStr">
        <is>
          <t>Word Search II</t>
        </is>
      </c>
      <c r="E70" s="39" t="inlineStr">
        <is>
          <t>Hard</t>
        </is>
      </c>
      <c r="F70" s="42" t="n"/>
      <c r="G70" s="43" t="n"/>
      <c r="H70" s="44" t="n"/>
      <c r="I70" s="39">
        <f>IF(OR(K70&lt;&gt;"",J70&lt;&gt;""),"是",IF(OR(G70&lt;&gt;"",F70&lt;&gt;""),"否",""))</f>
        <v/>
      </c>
      <c r="J70" s="42" t="n"/>
      <c r="K70" s="43" t="n"/>
      <c r="L70" s="45" t="n"/>
    </row>
    <row r="71" ht="15" customHeight="1" s="36">
      <c r="A71" s="39" t="n">
        <v>5</v>
      </c>
      <c r="B71" s="40" t="inlineStr">
        <is>
          <t>Heap / Priority Queue 堆</t>
        </is>
      </c>
      <c r="C71" s="39" t="n">
        <v>703</v>
      </c>
      <c r="D71" s="41" t="inlineStr">
        <is>
          <t>Kth Largest Element in a Stream</t>
        </is>
      </c>
      <c r="E71" s="39" t="inlineStr">
        <is>
          <t>Easy</t>
        </is>
      </c>
      <c r="F71" s="42" t="n"/>
      <c r="G71" s="43" t="n"/>
      <c r="H71" s="44" t="n"/>
      <c r="I71" s="39">
        <f>IF(OR(K71&lt;&gt;"",J71&lt;&gt;""),"是",IF(OR(G71&lt;&gt;"",F71&lt;&gt;""),"否",""))</f>
        <v/>
      </c>
      <c r="J71" s="42" t="n"/>
      <c r="K71" s="43" t="n"/>
      <c r="L71" s="45" t="n"/>
    </row>
    <row r="72" ht="15" customHeight="1" s="36">
      <c r="A72" s="39" t="n">
        <v>5</v>
      </c>
      <c r="B72" s="40" t="inlineStr">
        <is>
          <t>Heap / Priority Queue 堆</t>
        </is>
      </c>
      <c r="C72" s="39" t="n">
        <v>1046</v>
      </c>
      <c r="D72" s="41" t="inlineStr">
        <is>
          <t>Last Stone Weight</t>
        </is>
      </c>
      <c r="E72" s="39" t="inlineStr">
        <is>
          <t>Easy</t>
        </is>
      </c>
      <c r="F72" s="42" t="n"/>
      <c r="G72" s="43" t="n"/>
      <c r="H72" s="44" t="n"/>
      <c r="I72" s="39">
        <f>IF(OR(K72&lt;&gt;"",J72&lt;&gt;""),"是",IF(OR(G72&lt;&gt;"",F72&lt;&gt;""),"否",""))</f>
        <v/>
      </c>
      <c r="J72" s="42" t="n"/>
      <c r="K72" s="43" t="n"/>
      <c r="L72" s="45" t="n"/>
    </row>
    <row r="73" ht="15" customHeight="1" s="36">
      <c r="A73" s="39" t="n">
        <v>5</v>
      </c>
      <c r="B73" s="40" t="inlineStr">
        <is>
          <t>Heap / Priority Queue 堆</t>
        </is>
      </c>
      <c r="C73" s="39" t="n">
        <v>973</v>
      </c>
      <c r="D73" s="41" t="inlineStr">
        <is>
          <t>K Closest Points to Origin</t>
        </is>
      </c>
      <c r="E73" s="39" t="inlineStr">
        <is>
          <t>Medium</t>
        </is>
      </c>
      <c r="F73" s="42" t="n"/>
      <c r="G73" s="43" t="n"/>
      <c r="H73" s="44" t="n"/>
      <c r="I73" s="39">
        <f>IF(OR(K73&lt;&gt;"",J73&lt;&gt;""),"是",IF(OR(G73&lt;&gt;"",F73&lt;&gt;""),"否",""))</f>
        <v/>
      </c>
      <c r="J73" s="42" t="n"/>
      <c r="K73" s="43" t="n"/>
      <c r="L73" s="45" t="n"/>
    </row>
    <row r="74" ht="15" customHeight="1" s="36">
      <c r="A74" s="39" t="n">
        <v>5</v>
      </c>
      <c r="B74" s="40" t="inlineStr">
        <is>
          <t>Heap / Priority Queue 堆</t>
        </is>
      </c>
      <c r="C74" s="39" t="n">
        <v>215</v>
      </c>
      <c r="D74" s="41" t="inlineStr">
        <is>
          <t>Kth Largest Element in an Array</t>
        </is>
      </c>
      <c r="E74" s="39" t="inlineStr">
        <is>
          <t>Medium</t>
        </is>
      </c>
      <c r="F74" s="42" t="n"/>
      <c r="G74" s="43" t="n"/>
      <c r="H74" s="44" t="n"/>
      <c r="I74" s="39">
        <f>IF(OR(K74&lt;&gt;"",J74&lt;&gt;""),"是",IF(OR(G74&lt;&gt;"",F74&lt;&gt;""),"否",""))</f>
        <v/>
      </c>
      <c r="J74" s="42" t="n"/>
      <c r="K74" s="43" t="n"/>
      <c r="L74" s="45" t="n"/>
    </row>
    <row r="75" ht="15" customHeight="1" s="36">
      <c r="A75" s="39" t="n">
        <v>5</v>
      </c>
      <c r="B75" s="40" t="inlineStr">
        <is>
          <t>Heap / Priority Queue 堆</t>
        </is>
      </c>
      <c r="C75" s="39" t="n">
        <v>621</v>
      </c>
      <c r="D75" s="41" t="inlineStr">
        <is>
          <t>Task Scheduler</t>
        </is>
      </c>
      <c r="E75" s="39" t="inlineStr">
        <is>
          <t>Medium</t>
        </is>
      </c>
      <c r="F75" s="42" t="n"/>
      <c r="G75" s="43" t="n"/>
      <c r="H75" s="44" t="n"/>
      <c r="I75" s="39">
        <f>IF(OR(K75&lt;&gt;"",J75&lt;&gt;""),"是",IF(OR(G75&lt;&gt;"",F75&lt;&gt;""),"否",""))</f>
        <v/>
      </c>
      <c r="J75" s="42" t="n"/>
      <c r="K75" s="43" t="n"/>
      <c r="L75" s="45" t="n"/>
    </row>
    <row r="76" ht="15" customHeight="1" s="36">
      <c r="A76" s="39" t="n">
        <v>5</v>
      </c>
      <c r="B76" s="40" t="inlineStr">
        <is>
          <t>Heap / Priority Queue 堆</t>
        </is>
      </c>
      <c r="C76" s="39" t="n">
        <v>355</v>
      </c>
      <c r="D76" s="41" t="inlineStr">
        <is>
          <t>Design Twitter</t>
        </is>
      </c>
      <c r="E76" s="39" t="inlineStr">
        <is>
          <t>Medium</t>
        </is>
      </c>
      <c r="F76" s="42" t="n"/>
      <c r="G76" s="43" t="n"/>
      <c r="H76" s="44" t="n"/>
      <c r="I76" s="39">
        <f>IF(OR(K76&lt;&gt;"",J76&lt;&gt;""),"是",IF(OR(G76&lt;&gt;"",F76&lt;&gt;""),"否",""))</f>
        <v/>
      </c>
      <c r="J76" s="42" t="n"/>
      <c r="K76" s="43" t="n"/>
      <c r="L76" s="45" t="n"/>
    </row>
    <row r="77" ht="15" customHeight="1" s="36">
      <c r="A77" s="39" t="n">
        <v>5</v>
      </c>
      <c r="B77" s="40" t="inlineStr">
        <is>
          <t>Heap / Priority Queue 堆</t>
        </is>
      </c>
      <c r="C77" s="39" t="n">
        <v>295</v>
      </c>
      <c r="D77" s="41" t="inlineStr">
        <is>
          <t>Find Median from Data Stream</t>
        </is>
      </c>
      <c r="E77" s="39" t="inlineStr">
        <is>
          <t>Hard</t>
        </is>
      </c>
      <c r="F77" s="42" t="n"/>
      <c r="G77" s="43" t="n"/>
      <c r="H77" s="44" t="n"/>
      <c r="I77" s="39">
        <f>IF(OR(K77&lt;&gt;"",J77&lt;&gt;""),"是",IF(OR(G77&lt;&gt;"",F77&lt;&gt;""),"否",""))</f>
        <v/>
      </c>
      <c r="J77" s="42" t="n"/>
      <c r="K77" s="43" t="n"/>
      <c r="L77" s="45" t="n"/>
    </row>
    <row r="78" ht="15" customHeight="1" s="36">
      <c r="A78" s="39" t="n">
        <v>5</v>
      </c>
      <c r="B78" s="40" t="inlineStr">
        <is>
          <t>Backtracking 回溯</t>
        </is>
      </c>
      <c r="C78" s="39" t="n">
        <v>78</v>
      </c>
      <c r="D78" s="41" t="inlineStr">
        <is>
          <t>Subsets</t>
        </is>
      </c>
      <c r="E78" s="39" t="inlineStr">
        <is>
          <t>Medium</t>
        </is>
      </c>
      <c r="F78" s="42" t="n"/>
      <c r="G78" s="43" t="n"/>
      <c r="H78" s="44" t="n"/>
      <c r="I78" s="39">
        <f>IF(OR(K78&lt;&gt;"",J78&lt;&gt;""),"是",IF(OR(G78&lt;&gt;"",F78&lt;&gt;""),"否",""))</f>
        <v/>
      </c>
      <c r="J78" s="42" t="n"/>
      <c r="K78" s="43" t="n"/>
      <c r="L78" s="45" t="n"/>
    </row>
    <row r="79" ht="15" customHeight="1" s="36">
      <c r="A79" s="39" t="n">
        <v>5</v>
      </c>
      <c r="B79" s="40" t="inlineStr">
        <is>
          <t>Backtracking 回溯</t>
        </is>
      </c>
      <c r="C79" s="39" t="n">
        <v>39</v>
      </c>
      <c r="D79" s="41" t="inlineStr">
        <is>
          <t>Combination Sum</t>
        </is>
      </c>
      <c r="E79" s="39" t="inlineStr">
        <is>
          <t>Medium</t>
        </is>
      </c>
      <c r="F79" s="42" t="n"/>
      <c r="G79" s="43" t="n"/>
      <c r="H79" s="44" t="n"/>
      <c r="I79" s="39">
        <f>IF(OR(K79&lt;&gt;"",J79&lt;&gt;""),"是",IF(OR(G79&lt;&gt;"",F79&lt;&gt;""),"否",""))</f>
        <v/>
      </c>
      <c r="J79" s="42" t="n"/>
      <c r="K79" s="43" t="n"/>
      <c r="L79" s="45" t="n"/>
    </row>
    <row r="80" ht="15" customHeight="1" s="36">
      <c r="A80" s="39" t="n">
        <v>5</v>
      </c>
      <c r="B80" s="40" t="inlineStr">
        <is>
          <t>Backtracking 回溯</t>
        </is>
      </c>
      <c r="C80" s="39" t="n">
        <v>46</v>
      </c>
      <c r="D80" s="41" t="inlineStr">
        <is>
          <t>Permutations</t>
        </is>
      </c>
      <c r="E80" s="39" t="inlineStr">
        <is>
          <t>Medium</t>
        </is>
      </c>
      <c r="F80" s="42" t="n"/>
      <c r="G80" s="43" t="n"/>
      <c r="H80" s="44" t="n"/>
      <c r="I80" s="39">
        <f>IF(OR(K80&lt;&gt;"",J80&lt;&gt;""),"是",IF(OR(G80&lt;&gt;"",F80&lt;&gt;""),"否",""))</f>
        <v/>
      </c>
      <c r="J80" s="42" t="n"/>
      <c r="K80" s="43" t="n"/>
      <c r="L80" s="45" t="n"/>
    </row>
    <row r="81" ht="15" customHeight="1" s="36">
      <c r="A81" s="39" t="n">
        <v>5</v>
      </c>
      <c r="B81" s="40" t="inlineStr">
        <is>
          <t>Backtracking 回溯</t>
        </is>
      </c>
      <c r="C81" s="39" t="n">
        <v>90</v>
      </c>
      <c r="D81" s="41" t="inlineStr">
        <is>
          <t>Subsets II</t>
        </is>
      </c>
      <c r="E81" s="39" t="inlineStr">
        <is>
          <t>Medium</t>
        </is>
      </c>
      <c r="F81" s="42" t="n"/>
      <c r="G81" s="43" t="n"/>
      <c r="H81" s="44" t="n"/>
      <c r="I81" s="39">
        <f>IF(OR(K81&lt;&gt;"",J81&lt;&gt;""),"是",IF(OR(G81&lt;&gt;"",F81&lt;&gt;""),"否",""))</f>
        <v/>
      </c>
      <c r="J81" s="42" t="n"/>
      <c r="K81" s="43" t="n"/>
      <c r="L81" s="45" t="n"/>
    </row>
    <row r="82" ht="15" customHeight="1" s="36">
      <c r="A82" s="39" t="n">
        <v>5</v>
      </c>
      <c r="B82" s="40" t="inlineStr">
        <is>
          <t>Backtracking 回溯</t>
        </is>
      </c>
      <c r="C82" s="39" t="n">
        <v>40</v>
      </c>
      <c r="D82" s="41" t="inlineStr">
        <is>
          <t>Combination Sum II</t>
        </is>
      </c>
      <c r="E82" s="39" t="inlineStr">
        <is>
          <t>Medium</t>
        </is>
      </c>
      <c r="F82" s="42" t="n"/>
      <c r="G82" s="43" t="n"/>
      <c r="H82" s="44" t="n"/>
      <c r="I82" s="39">
        <f>IF(OR(K82&lt;&gt;"",J82&lt;&gt;""),"是",IF(OR(G82&lt;&gt;"",F82&lt;&gt;""),"否",""))</f>
        <v/>
      </c>
      <c r="J82" s="42" t="n"/>
      <c r="K82" s="43" t="n"/>
      <c r="L82" s="45" t="n"/>
    </row>
    <row r="83" ht="15" customHeight="1" s="36">
      <c r="A83" s="39" t="n">
        <v>5</v>
      </c>
      <c r="B83" s="40" t="inlineStr">
        <is>
          <t>Backtracking 回溯</t>
        </is>
      </c>
      <c r="C83" s="39" t="n">
        <v>79</v>
      </c>
      <c r="D83" s="41" t="inlineStr">
        <is>
          <t>Word Search</t>
        </is>
      </c>
      <c r="E83" s="39" t="inlineStr">
        <is>
          <t>Medium</t>
        </is>
      </c>
      <c r="F83" s="42" t="n"/>
      <c r="G83" s="43" t="n"/>
      <c r="H83" s="44" t="n"/>
      <c r="I83" s="39">
        <f>IF(OR(K83&lt;&gt;"",J83&lt;&gt;""),"是",IF(OR(G83&lt;&gt;"",F83&lt;&gt;""),"否",""))</f>
        <v/>
      </c>
      <c r="J83" s="42" t="n"/>
      <c r="K83" s="43" t="n"/>
      <c r="L83" s="45" t="n"/>
    </row>
    <row r="84" ht="15" customHeight="1" s="36">
      <c r="A84" s="39" t="n">
        <v>5</v>
      </c>
      <c r="B84" s="40" t="inlineStr">
        <is>
          <t>Backtracking 回溯</t>
        </is>
      </c>
      <c r="C84" s="39" t="n">
        <v>131</v>
      </c>
      <c r="D84" s="41" t="inlineStr">
        <is>
          <t>Palindrome Partitioning</t>
        </is>
      </c>
      <c r="E84" s="39" t="inlineStr">
        <is>
          <t>Medium</t>
        </is>
      </c>
      <c r="F84" s="42" t="n"/>
      <c r="G84" s="43" t="n"/>
      <c r="H84" s="44" t="n"/>
      <c r="I84" s="39">
        <f>IF(OR(K84&lt;&gt;"",J84&lt;&gt;""),"是",IF(OR(G84&lt;&gt;"",F84&lt;&gt;""),"否",""))</f>
        <v/>
      </c>
      <c r="J84" s="42" t="n"/>
      <c r="K84" s="43" t="n"/>
      <c r="L84" s="45" t="n"/>
    </row>
    <row r="85" ht="15" customHeight="1" s="36">
      <c r="A85" s="39" t="n">
        <v>5</v>
      </c>
      <c r="B85" s="40" t="inlineStr">
        <is>
          <t>Backtracking 回溯</t>
        </is>
      </c>
      <c r="C85" s="39" t="n">
        <v>17</v>
      </c>
      <c r="D85" s="41" t="inlineStr">
        <is>
          <t>Letter Combinations of a Phone Number</t>
        </is>
      </c>
      <c r="E85" s="39" t="inlineStr">
        <is>
          <t>Medium</t>
        </is>
      </c>
      <c r="F85" s="42" t="n"/>
      <c r="G85" s="43" t="n"/>
      <c r="H85" s="44" t="n"/>
      <c r="I85" s="39">
        <f>IF(OR(K85&lt;&gt;"",J85&lt;&gt;""),"是",IF(OR(G85&lt;&gt;"",F85&lt;&gt;""),"否",""))</f>
        <v/>
      </c>
      <c r="J85" s="42" t="n"/>
      <c r="K85" s="43" t="n"/>
      <c r="L85" s="45" t="n"/>
    </row>
    <row r="86" ht="15" customHeight="1" s="36">
      <c r="A86" s="39" t="n">
        <v>5</v>
      </c>
      <c r="B86" s="40" t="inlineStr">
        <is>
          <t>Backtracking 回溯</t>
        </is>
      </c>
      <c r="C86" s="39" t="n">
        <v>51</v>
      </c>
      <c r="D86" s="41" t="inlineStr">
        <is>
          <t>N-Queens</t>
        </is>
      </c>
      <c r="E86" s="39" t="inlineStr">
        <is>
          <t>Hard</t>
        </is>
      </c>
      <c r="F86" s="42" t="n"/>
      <c r="G86" s="43" t="n"/>
      <c r="H86" s="44" t="n"/>
      <c r="I86" s="39">
        <f>IF(OR(K86&lt;&gt;"",J86&lt;&gt;""),"是",IF(OR(G86&lt;&gt;"",F86&lt;&gt;""),"否",""))</f>
        <v/>
      </c>
      <c r="J86" s="42" t="n"/>
      <c r="K86" s="43" t="n"/>
      <c r="L86" s="45" t="n"/>
    </row>
    <row r="87" ht="15" customHeight="1" s="36">
      <c r="A87" s="39" t="n">
        <v>6</v>
      </c>
      <c r="B87" s="40" t="inlineStr">
        <is>
          <t>Graphs 图论</t>
        </is>
      </c>
      <c r="C87" s="39" t="n">
        <v>733</v>
      </c>
      <c r="D87" s="41" t="inlineStr">
        <is>
          <t>Flood Fill</t>
        </is>
      </c>
      <c r="E87" s="39" t="inlineStr">
        <is>
          <t>Easy</t>
        </is>
      </c>
      <c r="F87" s="42" t="n"/>
      <c r="G87" s="43" t="n"/>
      <c r="H87" s="44" t="n"/>
      <c r="I87" s="39">
        <f>IF(OR(K87&lt;&gt;"",J87&lt;&gt;""),"是",IF(OR(G87&lt;&gt;"",F87&lt;&gt;""),"否",""))</f>
        <v/>
      </c>
      <c r="J87" s="42" t="n"/>
      <c r="K87" s="43" t="n"/>
      <c r="L87" s="45" t="n"/>
    </row>
    <row r="88" ht="15" customHeight="1" s="36">
      <c r="A88" s="39" t="n">
        <v>6</v>
      </c>
      <c r="B88" s="40" t="inlineStr">
        <is>
          <t>Graphs 图论</t>
        </is>
      </c>
      <c r="C88" s="39" t="n">
        <v>200</v>
      </c>
      <c r="D88" s="41" t="inlineStr">
        <is>
          <t>Number of Islands</t>
        </is>
      </c>
      <c r="E88" s="39" t="inlineStr">
        <is>
          <t>Medium</t>
        </is>
      </c>
      <c r="F88" s="42" t="n"/>
      <c r="G88" s="43" t="n"/>
      <c r="H88" s="44" t="n"/>
      <c r="I88" s="39">
        <f>IF(OR(K88&lt;&gt;"",J88&lt;&gt;""),"是",IF(OR(G88&lt;&gt;"",F88&lt;&gt;""),"否",""))</f>
        <v/>
      </c>
      <c r="J88" s="42" t="n"/>
      <c r="K88" s="43" t="n"/>
      <c r="L88" s="45" t="n"/>
    </row>
    <row r="89" ht="15" customHeight="1" s="36">
      <c r="A89" s="39" t="n">
        <v>6</v>
      </c>
      <c r="B89" s="40" t="inlineStr">
        <is>
          <t>Graphs 图论</t>
        </is>
      </c>
      <c r="C89" s="39" t="n">
        <v>695</v>
      </c>
      <c r="D89" s="41" t="inlineStr">
        <is>
          <t>Max Area of Island</t>
        </is>
      </c>
      <c r="E89" s="39" t="inlineStr">
        <is>
          <t>Medium</t>
        </is>
      </c>
      <c r="F89" s="42" t="n"/>
      <c r="G89" s="43" t="n"/>
      <c r="H89" s="44" t="n"/>
      <c r="I89" s="39">
        <f>IF(OR(K89&lt;&gt;"",J89&lt;&gt;""),"是",IF(OR(G89&lt;&gt;"",F89&lt;&gt;""),"否",""))</f>
        <v/>
      </c>
      <c r="J89" s="42" t="n"/>
      <c r="K89" s="43" t="n"/>
      <c r="L89" s="45" t="n"/>
    </row>
    <row r="90" ht="15" customHeight="1" s="36">
      <c r="A90" s="39" t="n">
        <v>6</v>
      </c>
      <c r="B90" s="40" t="inlineStr">
        <is>
          <t>Graphs 图论</t>
        </is>
      </c>
      <c r="C90" s="39" t="n">
        <v>133</v>
      </c>
      <c r="D90" s="41" t="inlineStr">
        <is>
          <t>Clone Graph</t>
        </is>
      </c>
      <c r="E90" s="39" t="inlineStr">
        <is>
          <t>Medium</t>
        </is>
      </c>
      <c r="F90" s="42" t="n"/>
      <c r="G90" s="43" t="n"/>
      <c r="H90" s="44" t="n"/>
      <c r="I90" s="39">
        <f>IF(OR(K90&lt;&gt;"",J90&lt;&gt;""),"是",IF(OR(G90&lt;&gt;"",F90&lt;&gt;""),"否",""))</f>
        <v/>
      </c>
      <c r="J90" s="42" t="n"/>
      <c r="K90" s="43" t="n"/>
      <c r="L90" s="45" t="n"/>
    </row>
    <row r="91" ht="15" customHeight="1" s="36">
      <c r="A91" s="39" t="n">
        <v>6</v>
      </c>
      <c r="B91" s="40" t="inlineStr">
        <is>
          <t>Graphs 图论</t>
        </is>
      </c>
      <c r="C91" s="39" t="n">
        <v>286</v>
      </c>
      <c r="D91" s="41" t="inlineStr">
        <is>
          <t>Walls and Gates</t>
        </is>
      </c>
      <c r="E91" s="39" t="inlineStr">
        <is>
          <t>Medium</t>
        </is>
      </c>
      <c r="F91" s="42" t="n"/>
      <c r="G91" s="43" t="n"/>
      <c r="H91" s="44" t="n"/>
      <c r="I91" s="39">
        <f>IF(OR(K91&lt;&gt;"",J91&lt;&gt;""),"是",IF(OR(G91&lt;&gt;"",F91&lt;&gt;""),"否",""))</f>
        <v/>
      </c>
      <c r="J91" s="42" t="n"/>
      <c r="K91" s="43" t="n"/>
      <c r="L91" s="45" t="inlineStr">
        <is>
          <t>LeetCode 会员题（可在 neetcode.io 找同名题练习）</t>
        </is>
      </c>
    </row>
    <row r="92" ht="15" customHeight="1" s="36">
      <c r="A92" s="39" t="n">
        <v>6</v>
      </c>
      <c r="B92" s="40" t="inlineStr">
        <is>
          <t>Graphs 图论</t>
        </is>
      </c>
      <c r="C92" s="39" t="n">
        <v>994</v>
      </c>
      <c r="D92" s="41" t="inlineStr">
        <is>
          <t>Rotting Oranges</t>
        </is>
      </c>
      <c r="E92" s="39" t="inlineStr">
        <is>
          <t>Medium</t>
        </is>
      </c>
      <c r="F92" s="42" t="n"/>
      <c r="G92" s="43" t="n"/>
      <c r="H92" s="44" t="n"/>
      <c r="I92" s="39">
        <f>IF(OR(K92&lt;&gt;"",J92&lt;&gt;""),"是",IF(OR(G92&lt;&gt;"",F92&lt;&gt;""),"否",""))</f>
        <v/>
      </c>
      <c r="J92" s="42" t="n"/>
      <c r="K92" s="43" t="n"/>
      <c r="L92" s="45" t="n"/>
    </row>
    <row r="93" ht="15" customHeight="1" s="36">
      <c r="A93" s="39" t="n">
        <v>6</v>
      </c>
      <c r="B93" s="40" t="inlineStr">
        <is>
          <t>Graphs 图论</t>
        </is>
      </c>
      <c r="C93" s="39" t="n">
        <v>417</v>
      </c>
      <c r="D93" s="41" t="inlineStr">
        <is>
          <t>Pacific Atlantic Water Flow</t>
        </is>
      </c>
      <c r="E93" s="39" t="inlineStr">
        <is>
          <t>Medium</t>
        </is>
      </c>
      <c r="F93" s="42" t="n"/>
      <c r="G93" s="43" t="n"/>
      <c r="H93" s="44" t="n"/>
      <c r="I93" s="39">
        <f>IF(OR(K93&lt;&gt;"",J93&lt;&gt;""),"是",IF(OR(G93&lt;&gt;"",F93&lt;&gt;""),"否",""))</f>
        <v/>
      </c>
      <c r="J93" s="42" t="n"/>
      <c r="K93" s="43" t="n"/>
      <c r="L93" s="45" t="n"/>
    </row>
    <row r="94" ht="15" customHeight="1" s="36">
      <c r="A94" s="39" t="n">
        <v>6</v>
      </c>
      <c r="B94" s="40" t="inlineStr">
        <is>
          <t>Graphs 图论</t>
        </is>
      </c>
      <c r="C94" s="39" t="n">
        <v>130</v>
      </c>
      <c r="D94" s="41" t="inlineStr">
        <is>
          <t>Surrounded Regions</t>
        </is>
      </c>
      <c r="E94" s="39" t="inlineStr">
        <is>
          <t>Medium</t>
        </is>
      </c>
      <c r="F94" s="42" t="n"/>
      <c r="G94" s="43" t="n"/>
      <c r="H94" s="44" t="n"/>
      <c r="I94" s="39">
        <f>IF(OR(K94&lt;&gt;"",J94&lt;&gt;""),"是",IF(OR(G94&lt;&gt;"",F94&lt;&gt;""),"否",""))</f>
        <v/>
      </c>
      <c r="J94" s="42" t="n"/>
      <c r="K94" s="43" t="n"/>
      <c r="L94" s="45" t="n"/>
    </row>
    <row r="95" ht="15" customHeight="1" s="36">
      <c r="A95" s="39" t="n">
        <v>6</v>
      </c>
      <c r="B95" s="40" t="inlineStr">
        <is>
          <t>Graphs 图论</t>
        </is>
      </c>
      <c r="C95" s="39" t="n">
        <v>207</v>
      </c>
      <c r="D95" s="41" t="inlineStr">
        <is>
          <t>Course Schedule</t>
        </is>
      </c>
      <c r="E95" s="39" t="inlineStr">
        <is>
          <t>Medium</t>
        </is>
      </c>
      <c r="F95" s="42" t="n"/>
      <c r="G95" s="43" t="n"/>
      <c r="H95" s="44" t="n"/>
      <c r="I95" s="39">
        <f>IF(OR(K95&lt;&gt;"",J95&lt;&gt;""),"是",IF(OR(G95&lt;&gt;"",F95&lt;&gt;""),"否",""))</f>
        <v/>
      </c>
      <c r="J95" s="42" t="n"/>
      <c r="K95" s="43" t="n"/>
      <c r="L95" s="45" t="n"/>
    </row>
    <row r="96" ht="15" customHeight="1" s="36">
      <c r="A96" s="39" t="n">
        <v>6</v>
      </c>
      <c r="B96" s="40" t="inlineStr">
        <is>
          <t>Graphs 图论</t>
        </is>
      </c>
      <c r="C96" s="39" t="n">
        <v>210</v>
      </c>
      <c r="D96" s="41" t="inlineStr">
        <is>
          <t>Course Schedule II</t>
        </is>
      </c>
      <c r="E96" s="39" t="inlineStr">
        <is>
          <t>Medium</t>
        </is>
      </c>
      <c r="F96" s="42" t="n"/>
      <c r="G96" s="43" t="n"/>
      <c r="H96" s="44" t="n"/>
      <c r="I96" s="39">
        <f>IF(OR(K96&lt;&gt;"",J96&lt;&gt;""),"是",IF(OR(G96&lt;&gt;"",F96&lt;&gt;""),"否",""))</f>
        <v/>
      </c>
      <c r="J96" s="42" t="n"/>
      <c r="K96" s="43" t="n"/>
      <c r="L96" s="45" t="n"/>
    </row>
    <row r="97" ht="15" customHeight="1" s="36">
      <c r="A97" s="39" t="n">
        <v>6</v>
      </c>
      <c r="B97" s="40" t="inlineStr">
        <is>
          <t>Graphs 图论</t>
        </is>
      </c>
      <c r="C97" s="39" t="n">
        <v>684</v>
      </c>
      <c r="D97" s="41" t="inlineStr">
        <is>
          <t>Redundant Connection</t>
        </is>
      </c>
      <c r="E97" s="39" t="inlineStr">
        <is>
          <t>Medium</t>
        </is>
      </c>
      <c r="F97" s="42" t="n"/>
      <c r="G97" s="43" t="n"/>
      <c r="H97" s="44" t="n"/>
      <c r="I97" s="39">
        <f>IF(OR(K97&lt;&gt;"",J97&lt;&gt;""),"是",IF(OR(G97&lt;&gt;"",F97&lt;&gt;""),"否",""))</f>
        <v/>
      </c>
      <c r="J97" s="42" t="n"/>
      <c r="K97" s="43" t="n"/>
      <c r="L97" s="45" t="n"/>
    </row>
    <row r="98" ht="15" customHeight="1" s="36">
      <c r="A98" s="39" t="n">
        <v>6</v>
      </c>
      <c r="B98" s="40" t="inlineStr">
        <is>
          <t>Graphs 图论</t>
        </is>
      </c>
      <c r="C98" s="39" t="n">
        <v>323</v>
      </c>
      <c r="D98" s="41" t="inlineStr">
        <is>
          <t>Number of Connected Components in an Undirected Graph</t>
        </is>
      </c>
      <c r="E98" s="39" t="inlineStr">
        <is>
          <t>Medium</t>
        </is>
      </c>
      <c r="F98" s="42" t="n"/>
      <c r="G98" s="43" t="n"/>
      <c r="H98" s="44" t="n"/>
      <c r="I98" s="39">
        <f>IF(OR(K98&lt;&gt;"",J98&lt;&gt;""),"是",IF(OR(G98&lt;&gt;"",F98&lt;&gt;""),"否",""))</f>
        <v/>
      </c>
      <c r="J98" s="42" t="n"/>
      <c r="K98" s="43" t="n"/>
      <c r="L98" s="45" t="inlineStr">
        <is>
          <t>LeetCode 会员题（可在 neetcode.io 找同名题练习）</t>
        </is>
      </c>
    </row>
    <row r="99" ht="15" customHeight="1" s="36">
      <c r="A99" s="39" t="n">
        <v>6</v>
      </c>
      <c r="B99" s="40" t="inlineStr">
        <is>
          <t>Graphs 图论</t>
        </is>
      </c>
      <c r="C99" s="39" t="n">
        <v>261</v>
      </c>
      <c r="D99" s="41" t="inlineStr">
        <is>
          <t>Graph Valid Tree</t>
        </is>
      </c>
      <c r="E99" s="39" t="inlineStr">
        <is>
          <t>Medium</t>
        </is>
      </c>
      <c r="F99" s="42" t="n"/>
      <c r="G99" s="43" t="n"/>
      <c r="H99" s="44" t="n"/>
      <c r="I99" s="39">
        <f>IF(OR(K99&lt;&gt;"",J99&lt;&gt;""),"是",IF(OR(G99&lt;&gt;"",F99&lt;&gt;""),"否",""))</f>
        <v/>
      </c>
      <c r="J99" s="42" t="n"/>
      <c r="K99" s="43" t="n"/>
      <c r="L99" s="45" t="inlineStr">
        <is>
          <t>LeetCode 会员题（可在 neetcode.io 找同名题练习）</t>
        </is>
      </c>
    </row>
    <row r="100" ht="15" customHeight="1" s="36">
      <c r="A100" s="39" t="n">
        <v>6</v>
      </c>
      <c r="B100" s="40" t="inlineStr">
        <is>
          <t>Graphs 图论</t>
        </is>
      </c>
      <c r="C100" s="39" t="n">
        <v>127</v>
      </c>
      <c r="D100" s="41" t="inlineStr">
        <is>
          <t>Word Ladder</t>
        </is>
      </c>
      <c r="E100" s="39" t="inlineStr">
        <is>
          <t>Hard</t>
        </is>
      </c>
      <c r="F100" s="42" t="n"/>
      <c r="G100" s="43" t="n"/>
      <c r="H100" s="44" t="n"/>
      <c r="I100" s="39">
        <f>IF(OR(K100&lt;&gt;"",J100&lt;&gt;""),"是",IF(OR(G100&lt;&gt;"",F100&lt;&gt;""),"否",""))</f>
        <v/>
      </c>
      <c r="J100" s="42" t="n"/>
      <c r="K100" s="43" t="n"/>
      <c r="L100" s="45" t="n"/>
    </row>
    <row r="101" ht="15" customHeight="1" s="36">
      <c r="A101" s="39" t="n">
        <v>6</v>
      </c>
      <c r="B101" s="40" t="inlineStr">
        <is>
          <t>Graphs 图论</t>
        </is>
      </c>
      <c r="C101" s="39" t="n">
        <v>752</v>
      </c>
      <c r="D101" s="41" t="inlineStr">
        <is>
          <t>Open the Lock</t>
        </is>
      </c>
      <c r="E101" s="39" t="inlineStr">
        <is>
          <t>Medium</t>
        </is>
      </c>
      <c r="F101" s="42" t="n"/>
      <c r="G101" s="43" t="n"/>
      <c r="H101" s="44" t="n"/>
      <c r="I101" s="39">
        <f>IF(OR(K101&lt;&gt;"",J101&lt;&gt;""),"是",IF(OR(G101&lt;&gt;"",F101&lt;&gt;""),"否",""))</f>
        <v/>
      </c>
      <c r="J101" s="42" t="n"/>
      <c r="K101" s="43" t="n"/>
      <c r="L101" s="45" t="n"/>
    </row>
    <row r="102" ht="15" customHeight="1" s="36">
      <c r="A102" s="39" t="n">
        <v>6</v>
      </c>
      <c r="B102" s="40" t="inlineStr">
        <is>
          <t>Graphs 图论</t>
        </is>
      </c>
      <c r="C102" s="39" t="n">
        <v>542</v>
      </c>
      <c r="D102" s="41" t="inlineStr">
        <is>
          <t>01 Matrix</t>
        </is>
      </c>
      <c r="E102" s="39" t="inlineStr">
        <is>
          <t>Medium</t>
        </is>
      </c>
      <c r="F102" s="42" t="n"/>
      <c r="G102" s="43" t="n"/>
      <c r="H102" s="44" t="n"/>
      <c r="I102" s="39">
        <f>IF(OR(K102&lt;&gt;"",J102&lt;&gt;""),"是",IF(OR(G102&lt;&gt;"",F102&lt;&gt;""),"否",""))</f>
        <v/>
      </c>
      <c r="J102" s="42" t="n"/>
      <c r="K102" s="43" t="n"/>
      <c r="L102" s="45" t="n"/>
    </row>
    <row r="103" ht="15" customHeight="1" s="36">
      <c r="A103" s="39" t="n">
        <v>6</v>
      </c>
      <c r="B103" s="40" t="inlineStr">
        <is>
          <t>Graphs 图论</t>
        </is>
      </c>
      <c r="C103" s="39" t="n">
        <v>721</v>
      </c>
      <c r="D103" s="41" t="inlineStr">
        <is>
          <t>Accounts Merge</t>
        </is>
      </c>
      <c r="E103" s="39" t="inlineStr">
        <is>
          <t>Medium</t>
        </is>
      </c>
      <c r="F103" s="42" t="n"/>
      <c r="G103" s="43" t="n"/>
      <c r="H103" s="44" t="n"/>
      <c r="I103" s="39">
        <f>IF(OR(K103&lt;&gt;"",J103&lt;&gt;""),"是",IF(OR(G103&lt;&gt;"",F103&lt;&gt;""),"否",""))</f>
        <v/>
      </c>
      <c r="J103" s="42" t="n"/>
      <c r="K103" s="43" t="n"/>
      <c r="L103" s="45" t="n"/>
    </row>
    <row r="104" ht="15" customHeight="1" s="36">
      <c r="A104" s="39" t="n">
        <v>6</v>
      </c>
      <c r="B104" s="40" t="inlineStr">
        <is>
          <t>Graphs 图论</t>
        </is>
      </c>
      <c r="C104" s="39" t="n">
        <v>310</v>
      </c>
      <c r="D104" s="41" t="inlineStr">
        <is>
          <t>Minimum Height Trees</t>
        </is>
      </c>
      <c r="E104" s="39" t="inlineStr">
        <is>
          <t>Medium</t>
        </is>
      </c>
      <c r="F104" s="42" t="n"/>
      <c r="G104" s="43" t="n"/>
      <c r="H104" s="44" t="n"/>
      <c r="I104" s="39">
        <f>IF(OR(K104&lt;&gt;"",J104&lt;&gt;""),"是",IF(OR(G104&lt;&gt;"",F104&lt;&gt;""),"否",""))</f>
        <v/>
      </c>
      <c r="J104" s="42" t="n"/>
      <c r="K104" s="43" t="n"/>
      <c r="L104" s="45" t="n"/>
    </row>
    <row r="105" ht="15" customHeight="1" s="36">
      <c r="A105" s="39" t="n">
        <v>6</v>
      </c>
      <c r="B105" s="40" t="inlineStr">
        <is>
          <t>Graphs 图论</t>
        </is>
      </c>
      <c r="C105" s="39" t="n">
        <v>802</v>
      </c>
      <c r="D105" s="41" t="inlineStr">
        <is>
          <t>Find Eventual Safe States</t>
        </is>
      </c>
      <c r="E105" s="39" t="inlineStr">
        <is>
          <t>Medium</t>
        </is>
      </c>
      <c r="F105" s="42" t="n"/>
      <c r="G105" s="43" t="n"/>
      <c r="H105" s="44" t="n"/>
      <c r="I105" s="39">
        <f>IF(OR(K105&lt;&gt;"",J105&lt;&gt;""),"是",IF(OR(G105&lt;&gt;"",F105&lt;&gt;""),"否",""))</f>
        <v/>
      </c>
      <c r="J105" s="42" t="n"/>
      <c r="K105" s="43" t="n"/>
      <c r="L105" s="45" t="n"/>
    </row>
    <row r="106" ht="15" customHeight="1" s="36">
      <c r="A106" s="39" t="n">
        <v>7</v>
      </c>
      <c r="B106" s="40" t="inlineStr">
        <is>
          <t>Advanced Graphs 高级图论</t>
        </is>
      </c>
      <c r="C106" s="39" t="n">
        <v>332</v>
      </c>
      <c r="D106" s="41" t="inlineStr">
        <is>
          <t>Reconstruct Itinerary</t>
        </is>
      </c>
      <c r="E106" s="39" t="inlineStr">
        <is>
          <t>Hard</t>
        </is>
      </c>
      <c r="F106" s="42" t="n"/>
      <c r="G106" s="43" t="n"/>
      <c r="H106" s="44" t="n"/>
      <c r="I106" s="39">
        <f>IF(OR(K106&lt;&gt;"",J106&lt;&gt;""),"是",IF(OR(G106&lt;&gt;"",F106&lt;&gt;""),"否",""))</f>
        <v/>
      </c>
      <c r="J106" s="42" t="n"/>
      <c r="K106" s="43" t="n"/>
      <c r="L106" s="45" t="n"/>
    </row>
    <row r="107" ht="15" customHeight="1" s="36">
      <c r="A107" s="39" t="n">
        <v>7</v>
      </c>
      <c r="B107" s="40" t="inlineStr">
        <is>
          <t>Advanced Graphs 高级图论</t>
        </is>
      </c>
      <c r="C107" s="39" t="n">
        <v>1584</v>
      </c>
      <c r="D107" s="41" t="inlineStr">
        <is>
          <t>Min Cost to Connect All Points</t>
        </is>
      </c>
      <c r="E107" s="39" t="inlineStr">
        <is>
          <t>Medium</t>
        </is>
      </c>
      <c r="F107" s="42" t="n"/>
      <c r="G107" s="43" t="n"/>
      <c r="H107" s="44" t="n"/>
      <c r="I107" s="39">
        <f>IF(OR(K107&lt;&gt;"",J107&lt;&gt;""),"是",IF(OR(G107&lt;&gt;"",F107&lt;&gt;""),"否",""))</f>
        <v/>
      </c>
      <c r="J107" s="42" t="n"/>
      <c r="K107" s="43" t="n"/>
      <c r="L107" s="45" t="n"/>
    </row>
    <row r="108" ht="15" customHeight="1" s="36">
      <c r="A108" s="39" t="n">
        <v>7</v>
      </c>
      <c r="B108" s="40" t="inlineStr">
        <is>
          <t>Advanced Graphs 高级图论</t>
        </is>
      </c>
      <c r="C108" s="39" t="n">
        <v>743</v>
      </c>
      <c r="D108" s="41" t="inlineStr">
        <is>
          <t>Network Delay Time</t>
        </is>
      </c>
      <c r="E108" s="39" t="inlineStr">
        <is>
          <t>Medium</t>
        </is>
      </c>
      <c r="F108" s="42" t="n"/>
      <c r="G108" s="43" t="n"/>
      <c r="H108" s="44" t="n"/>
      <c r="I108" s="39">
        <f>IF(OR(K108&lt;&gt;"",J108&lt;&gt;""),"是",IF(OR(G108&lt;&gt;"",F108&lt;&gt;""),"否",""))</f>
        <v/>
      </c>
      <c r="J108" s="42" t="n"/>
      <c r="K108" s="43" t="n"/>
      <c r="L108" s="45" t="n"/>
    </row>
    <row r="109" ht="15" customHeight="1" s="36">
      <c r="A109" s="39" t="n">
        <v>7</v>
      </c>
      <c r="B109" s="40" t="inlineStr">
        <is>
          <t>Advanced Graphs 高级图论</t>
        </is>
      </c>
      <c r="C109" s="39" t="n">
        <v>778</v>
      </c>
      <c r="D109" s="41" t="inlineStr">
        <is>
          <t>Swim in Rising Water</t>
        </is>
      </c>
      <c r="E109" s="39" t="inlineStr">
        <is>
          <t>Hard</t>
        </is>
      </c>
      <c r="F109" s="42" t="n"/>
      <c r="G109" s="43" t="n"/>
      <c r="H109" s="44" t="n"/>
      <c r="I109" s="39">
        <f>IF(OR(K109&lt;&gt;"",J109&lt;&gt;""),"是",IF(OR(G109&lt;&gt;"",F109&lt;&gt;""),"否",""))</f>
        <v/>
      </c>
      <c r="J109" s="42" t="n"/>
      <c r="K109" s="43" t="n"/>
      <c r="L109" s="45" t="n"/>
    </row>
    <row r="110" ht="15" customHeight="1" s="36">
      <c r="A110" s="39" t="n">
        <v>7</v>
      </c>
      <c r="B110" s="40" t="inlineStr">
        <is>
          <t>Advanced Graphs 高级图论</t>
        </is>
      </c>
      <c r="C110" s="39" t="n">
        <v>269</v>
      </c>
      <c r="D110" s="41" t="inlineStr">
        <is>
          <t>Alien Dictionary</t>
        </is>
      </c>
      <c r="E110" s="39" t="inlineStr">
        <is>
          <t>Hard</t>
        </is>
      </c>
      <c r="F110" s="42" t="n"/>
      <c r="G110" s="43" t="n"/>
      <c r="H110" s="44" t="n"/>
      <c r="I110" s="39">
        <f>IF(OR(K110&lt;&gt;"",J110&lt;&gt;""),"是",IF(OR(G110&lt;&gt;"",F110&lt;&gt;""),"否",""))</f>
        <v/>
      </c>
      <c r="J110" s="42" t="n"/>
      <c r="K110" s="43" t="n"/>
      <c r="L110" s="45" t="inlineStr">
        <is>
          <t>LeetCode 会员题（可在 neetcode.io 找同名题练习）</t>
        </is>
      </c>
    </row>
    <row r="111" ht="15" customHeight="1" s="36">
      <c r="A111" s="39" t="n">
        <v>7</v>
      </c>
      <c r="B111" s="40" t="inlineStr">
        <is>
          <t>Advanced Graphs 高级图论</t>
        </is>
      </c>
      <c r="C111" s="39" t="n">
        <v>787</v>
      </c>
      <c r="D111" s="41" t="inlineStr">
        <is>
          <t>Cheapest Flights Within K Stops</t>
        </is>
      </c>
      <c r="E111" s="39" t="inlineStr">
        <is>
          <t>Medium</t>
        </is>
      </c>
      <c r="F111" s="42" t="n"/>
      <c r="G111" s="43" t="n"/>
      <c r="H111" s="44" t="n"/>
      <c r="I111" s="39">
        <f>IF(OR(K111&lt;&gt;"",J111&lt;&gt;""),"是",IF(OR(G111&lt;&gt;"",F111&lt;&gt;""),"否",""))</f>
        <v/>
      </c>
      <c r="J111" s="42" t="n"/>
      <c r="K111" s="43" t="n"/>
      <c r="L111" s="45" t="n"/>
    </row>
    <row r="112" ht="15" customHeight="1" s="36">
      <c r="A112" s="39" t="n">
        <v>8</v>
      </c>
      <c r="B112" s="40" t="inlineStr">
        <is>
          <t>1-D DP 一维动态规划</t>
        </is>
      </c>
      <c r="C112" s="39" t="n">
        <v>70</v>
      </c>
      <c r="D112" s="41" t="inlineStr">
        <is>
          <t>Climbing Stairs</t>
        </is>
      </c>
      <c r="E112" s="39" t="inlineStr">
        <is>
          <t>Easy</t>
        </is>
      </c>
      <c r="F112" s="42" t="n"/>
      <c r="G112" s="43" t="n"/>
      <c r="H112" s="44" t="n"/>
      <c r="I112" s="39">
        <f>IF(OR(K112&lt;&gt;"",J112&lt;&gt;""),"是",IF(OR(G112&lt;&gt;"",F112&lt;&gt;""),"否",""))</f>
        <v/>
      </c>
      <c r="J112" s="42" t="n"/>
      <c r="K112" s="43" t="n"/>
      <c r="L112" s="45" t="n"/>
    </row>
    <row r="113" ht="15" customHeight="1" s="36">
      <c r="A113" s="39" t="n">
        <v>8</v>
      </c>
      <c r="B113" s="40" t="inlineStr">
        <is>
          <t>1-D DP 一维动态规划</t>
        </is>
      </c>
      <c r="C113" s="39" t="n">
        <v>746</v>
      </c>
      <c r="D113" s="41" t="inlineStr">
        <is>
          <t>Min Cost Climbing Stairs</t>
        </is>
      </c>
      <c r="E113" s="39" t="inlineStr">
        <is>
          <t>Easy</t>
        </is>
      </c>
      <c r="F113" s="42" t="n"/>
      <c r="G113" s="43" t="n"/>
      <c r="H113" s="44" t="n"/>
      <c r="I113" s="39">
        <f>IF(OR(K113&lt;&gt;"",J113&lt;&gt;""),"是",IF(OR(G113&lt;&gt;"",F113&lt;&gt;""),"否",""))</f>
        <v/>
      </c>
      <c r="J113" s="42" t="n"/>
      <c r="K113" s="43" t="n"/>
      <c r="L113" s="45" t="n"/>
    </row>
    <row r="114" ht="15" customHeight="1" s="36">
      <c r="A114" s="39" t="n">
        <v>8</v>
      </c>
      <c r="B114" s="40" t="inlineStr">
        <is>
          <t>1-D DP 一维动态规划</t>
        </is>
      </c>
      <c r="C114" s="39" t="n">
        <v>198</v>
      </c>
      <c r="D114" s="41" t="inlineStr">
        <is>
          <t>House Robber</t>
        </is>
      </c>
      <c r="E114" s="39" t="inlineStr">
        <is>
          <t>Medium</t>
        </is>
      </c>
      <c r="F114" s="42" t="n"/>
      <c r="G114" s="43" t="n"/>
      <c r="H114" s="44" t="n"/>
      <c r="I114" s="39">
        <f>IF(OR(K114&lt;&gt;"",J114&lt;&gt;""),"是",IF(OR(G114&lt;&gt;"",F114&lt;&gt;""),"否",""))</f>
        <v/>
      </c>
      <c r="J114" s="42" t="n"/>
      <c r="K114" s="43" t="n"/>
      <c r="L114" s="45" t="n"/>
    </row>
    <row r="115" ht="15" customHeight="1" s="36">
      <c r="A115" s="39" t="n">
        <v>8</v>
      </c>
      <c r="B115" s="40" t="inlineStr">
        <is>
          <t>1-D DP 一维动态规划</t>
        </is>
      </c>
      <c r="C115" s="39" t="n">
        <v>213</v>
      </c>
      <c r="D115" s="41" t="inlineStr">
        <is>
          <t>House Robber II</t>
        </is>
      </c>
      <c r="E115" s="39" t="inlineStr">
        <is>
          <t>Medium</t>
        </is>
      </c>
      <c r="F115" s="42" t="n"/>
      <c r="G115" s="43" t="n"/>
      <c r="H115" s="44" t="n"/>
      <c r="I115" s="39">
        <f>IF(OR(K115&lt;&gt;"",J115&lt;&gt;""),"是",IF(OR(G115&lt;&gt;"",F115&lt;&gt;""),"否",""))</f>
        <v/>
      </c>
      <c r="J115" s="42" t="n"/>
      <c r="K115" s="43" t="n"/>
      <c r="L115" s="45" t="n"/>
    </row>
    <row r="116" ht="15" customHeight="1" s="36">
      <c r="A116" s="39" t="n">
        <v>8</v>
      </c>
      <c r="B116" s="40" t="inlineStr">
        <is>
          <t>1-D DP 一维动态规划</t>
        </is>
      </c>
      <c r="C116" s="39" t="n">
        <v>5</v>
      </c>
      <c r="D116" s="41" t="inlineStr">
        <is>
          <t>Longest Palindromic Substring</t>
        </is>
      </c>
      <c r="E116" s="39" t="inlineStr">
        <is>
          <t>Medium</t>
        </is>
      </c>
      <c r="F116" s="42" t="n"/>
      <c r="G116" s="43" t="n"/>
      <c r="H116" s="44" t="n"/>
      <c r="I116" s="39">
        <f>IF(OR(K116&lt;&gt;"",J116&lt;&gt;""),"是",IF(OR(G116&lt;&gt;"",F116&lt;&gt;""),"否",""))</f>
        <v/>
      </c>
      <c r="J116" s="42" t="n"/>
      <c r="K116" s="43" t="n"/>
      <c r="L116" s="45" t="n"/>
    </row>
    <row r="117" ht="15" customHeight="1" s="36">
      <c r="A117" s="39" t="n">
        <v>8</v>
      </c>
      <c r="B117" s="40" t="inlineStr">
        <is>
          <t>1-D DP 一维动态规划</t>
        </is>
      </c>
      <c r="C117" s="39" t="n">
        <v>647</v>
      </c>
      <c r="D117" s="41" t="inlineStr">
        <is>
          <t>Palindromic Substrings</t>
        </is>
      </c>
      <c r="E117" s="39" t="inlineStr">
        <is>
          <t>Medium</t>
        </is>
      </c>
      <c r="F117" s="42" t="n"/>
      <c r="G117" s="43" t="n"/>
      <c r="H117" s="44" t="n"/>
      <c r="I117" s="39">
        <f>IF(OR(K117&lt;&gt;"",J117&lt;&gt;""),"是",IF(OR(G117&lt;&gt;"",F117&lt;&gt;""),"否",""))</f>
        <v/>
      </c>
      <c r="J117" s="42" t="n"/>
      <c r="K117" s="43" t="n"/>
      <c r="L117" s="45" t="n"/>
    </row>
    <row r="118" ht="15" customHeight="1" s="36">
      <c r="A118" s="39" t="n">
        <v>8</v>
      </c>
      <c r="B118" s="40" t="inlineStr">
        <is>
          <t>1-D DP 一维动态规划</t>
        </is>
      </c>
      <c r="C118" s="39" t="n">
        <v>91</v>
      </c>
      <c r="D118" s="41" t="inlineStr">
        <is>
          <t>Decode Ways</t>
        </is>
      </c>
      <c r="E118" s="39" t="inlineStr">
        <is>
          <t>Medium</t>
        </is>
      </c>
      <c r="F118" s="42" t="n"/>
      <c r="G118" s="43" t="n"/>
      <c r="H118" s="44" t="n"/>
      <c r="I118" s="39">
        <f>IF(OR(K118&lt;&gt;"",J118&lt;&gt;""),"是",IF(OR(G118&lt;&gt;"",F118&lt;&gt;""),"否",""))</f>
        <v/>
      </c>
      <c r="J118" s="42" t="n"/>
      <c r="K118" s="43" t="n"/>
      <c r="L118" s="45" t="n"/>
    </row>
    <row r="119" ht="15" customHeight="1" s="36">
      <c r="A119" s="39" t="n">
        <v>8</v>
      </c>
      <c r="B119" s="40" t="inlineStr">
        <is>
          <t>1-D DP 一维动态规划</t>
        </is>
      </c>
      <c r="C119" s="39" t="n">
        <v>322</v>
      </c>
      <c r="D119" s="41" t="inlineStr">
        <is>
          <t>Coin Change</t>
        </is>
      </c>
      <c r="E119" s="39" t="inlineStr">
        <is>
          <t>Medium</t>
        </is>
      </c>
      <c r="F119" s="42" t="n"/>
      <c r="G119" s="43" t="n"/>
      <c r="H119" s="44" t="n"/>
      <c r="I119" s="39">
        <f>IF(OR(K119&lt;&gt;"",J119&lt;&gt;""),"是",IF(OR(G119&lt;&gt;"",F119&lt;&gt;""),"否",""))</f>
        <v/>
      </c>
      <c r="J119" s="42" t="n"/>
      <c r="K119" s="43" t="n"/>
      <c r="L119" s="45" t="n"/>
    </row>
    <row r="120" ht="15" customHeight="1" s="36">
      <c r="A120" s="39" t="n">
        <v>8</v>
      </c>
      <c r="B120" s="40" t="inlineStr">
        <is>
          <t>1-D DP 一维动态规划</t>
        </is>
      </c>
      <c r="C120" s="39" t="n">
        <v>152</v>
      </c>
      <c r="D120" s="41" t="inlineStr">
        <is>
          <t>Maximum Product Subarray</t>
        </is>
      </c>
      <c r="E120" s="39" t="inlineStr">
        <is>
          <t>Medium</t>
        </is>
      </c>
      <c r="F120" s="42" t="n"/>
      <c r="G120" s="43" t="n"/>
      <c r="H120" s="44" t="n"/>
      <c r="I120" s="39">
        <f>IF(OR(K120&lt;&gt;"",J120&lt;&gt;""),"是",IF(OR(G120&lt;&gt;"",F120&lt;&gt;""),"否",""))</f>
        <v/>
      </c>
      <c r="J120" s="42" t="n"/>
      <c r="K120" s="43" t="n"/>
      <c r="L120" s="45" t="n"/>
    </row>
    <row r="121" ht="15" customHeight="1" s="36">
      <c r="A121" s="39" t="n">
        <v>8</v>
      </c>
      <c r="B121" s="40" t="inlineStr">
        <is>
          <t>1-D DP 一维动态规划</t>
        </is>
      </c>
      <c r="C121" s="39" t="n">
        <v>139</v>
      </c>
      <c r="D121" s="41" t="inlineStr">
        <is>
          <t>Word Break</t>
        </is>
      </c>
      <c r="E121" s="39" t="inlineStr">
        <is>
          <t>Medium</t>
        </is>
      </c>
      <c r="F121" s="42" t="n"/>
      <c r="G121" s="43" t="n"/>
      <c r="H121" s="44" t="n"/>
      <c r="I121" s="39">
        <f>IF(OR(K121&lt;&gt;"",J121&lt;&gt;""),"是",IF(OR(G121&lt;&gt;"",F121&lt;&gt;""),"否",""))</f>
        <v/>
      </c>
      <c r="J121" s="42" t="n"/>
      <c r="K121" s="43" t="n"/>
      <c r="L121" s="45" t="n"/>
    </row>
    <row r="122" ht="15" customHeight="1" s="36">
      <c r="A122" s="39" t="n">
        <v>8</v>
      </c>
      <c r="B122" s="40" t="inlineStr">
        <is>
          <t>1-D DP 一维动态规划</t>
        </is>
      </c>
      <c r="C122" s="39" t="n">
        <v>300</v>
      </c>
      <c r="D122" s="41" t="inlineStr">
        <is>
          <t>Longest Increasing Subsequence</t>
        </is>
      </c>
      <c r="E122" s="39" t="inlineStr">
        <is>
          <t>Medium</t>
        </is>
      </c>
      <c r="F122" s="42" t="n"/>
      <c r="G122" s="43" t="n"/>
      <c r="H122" s="44" t="n"/>
      <c r="I122" s="39">
        <f>IF(OR(K122&lt;&gt;"",J122&lt;&gt;""),"是",IF(OR(G122&lt;&gt;"",F122&lt;&gt;""),"否",""))</f>
        <v/>
      </c>
      <c r="J122" s="42" t="n"/>
      <c r="K122" s="43" t="n"/>
      <c r="L122" s="45" t="n"/>
    </row>
    <row r="123" ht="15" customHeight="1" s="36">
      <c r="A123" s="39" t="n">
        <v>8</v>
      </c>
      <c r="B123" s="40" t="inlineStr">
        <is>
          <t>1-D DP 一维动态规划</t>
        </is>
      </c>
      <c r="C123" s="39" t="n">
        <v>416</v>
      </c>
      <c r="D123" s="41" t="inlineStr">
        <is>
          <t>Partition Equal Subset Sum</t>
        </is>
      </c>
      <c r="E123" s="39" t="inlineStr">
        <is>
          <t>Medium</t>
        </is>
      </c>
      <c r="F123" s="42" t="n"/>
      <c r="G123" s="43" t="n"/>
      <c r="H123" s="44" t="n"/>
      <c r="I123" s="39">
        <f>IF(OR(K123&lt;&gt;"",J123&lt;&gt;""),"是",IF(OR(G123&lt;&gt;"",F123&lt;&gt;""),"否",""))</f>
        <v/>
      </c>
      <c r="J123" s="42" t="n"/>
      <c r="K123" s="43" t="n"/>
      <c r="L123" s="45" t="n"/>
    </row>
    <row r="124" ht="15" customHeight="1" s="36">
      <c r="A124" s="39" t="n">
        <v>8</v>
      </c>
      <c r="B124" s="40" t="inlineStr">
        <is>
          <t>1-D DP 一维动态规划</t>
        </is>
      </c>
      <c r="C124" s="39" t="n">
        <v>1235</v>
      </c>
      <c r="D124" s="41" t="inlineStr">
        <is>
          <t>Maximum Profit in Job Scheduling</t>
        </is>
      </c>
      <c r="E124" s="39" t="inlineStr">
        <is>
          <t>Hard</t>
        </is>
      </c>
      <c r="F124" s="42" t="n"/>
      <c r="G124" s="43" t="n"/>
      <c r="H124" s="44" t="n"/>
      <c r="I124" s="39">
        <f>IF(OR(K124&lt;&gt;"",J124&lt;&gt;""),"是",IF(OR(G124&lt;&gt;"",F124&lt;&gt;""),"否",""))</f>
        <v/>
      </c>
      <c r="J124" s="42" t="n"/>
      <c r="K124" s="43" t="n"/>
      <c r="L124" s="45" t="n"/>
    </row>
    <row r="125" ht="15" customHeight="1" s="36">
      <c r="A125" s="39" t="n">
        <v>8</v>
      </c>
      <c r="B125" s="40" t="inlineStr">
        <is>
          <t>2-D DP 二维动态规划</t>
        </is>
      </c>
      <c r="C125" s="39" t="n">
        <v>62</v>
      </c>
      <c r="D125" s="41" t="inlineStr">
        <is>
          <t>Unique Paths</t>
        </is>
      </c>
      <c r="E125" s="39" t="inlineStr">
        <is>
          <t>Medium</t>
        </is>
      </c>
      <c r="F125" s="42" t="n"/>
      <c r="G125" s="43" t="n"/>
      <c r="H125" s="44" t="n"/>
      <c r="I125" s="39">
        <f>IF(OR(K125&lt;&gt;"",J125&lt;&gt;""),"是",IF(OR(G125&lt;&gt;"",F125&lt;&gt;""),"否",""))</f>
        <v/>
      </c>
      <c r="J125" s="42" t="n"/>
      <c r="K125" s="43" t="n"/>
      <c r="L125" s="45" t="n"/>
    </row>
    <row r="126" ht="15" customHeight="1" s="36">
      <c r="A126" s="39" t="n">
        <v>8</v>
      </c>
      <c r="B126" s="40" t="inlineStr">
        <is>
          <t>2-D DP 二维动态规划</t>
        </is>
      </c>
      <c r="C126" s="39" t="n">
        <v>1143</v>
      </c>
      <c r="D126" s="41" t="inlineStr">
        <is>
          <t>Longest Common Subsequence</t>
        </is>
      </c>
      <c r="E126" s="39" t="inlineStr">
        <is>
          <t>Medium</t>
        </is>
      </c>
      <c r="F126" s="42" t="n"/>
      <c r="G126" s="43" t="n"/>
      <c r="H126" s="44" t="n"/>
      <c r="I126" s="39">
        <f>IF(OR(K126&lt;&gt;"",J126&lt;&gt;""),"是",IF(OR(G126&lt;&gt;"",F126&lt;&gt;""),"否",""))</f>
        <v/>
      </c>
      <c r="J126" s="42" t="n"/>
      <c r="K126" s="43" t="n"/>
      <c r="L126" s="45" t="n"/>
    </row>
    <row r="127" ht="15" customHeight="1" s="36">
      <c r="A127" s="39" t="n">
        <v>8</v>
      </c>
      <c r="B127" s="40" t="inlineStr">
        <is>
          <t>2-D DP 二维动态规划</t>
        </is>
      </c>
      <c r="C127" s="39" t="n">
        <v>309</v>
      </c>
      <c r="D127" s="41" t="inlineStr">
        <is>
          <t>Best Time to Buy and Sell Stock with Cooldown</t>
        </is>
      </c>
      <c r="E127" s="39" t="inlineStr">
        <is>
          <t>Medium</t>
        </is>
      </c>
      <c r="F127" s="42" t="n"/>
      <c r="G127" s="43" t="n"/>
      <c r="H127" s="44" t="n"/>
      <c r="I127" s="39">
        <f>IF(OR(K127&lt;&gt;"",J127&lt;&gt;""),"是",IF(OR(G127&lt;&gt;"",F127&lt;&gt;""),"否",""))</f>
        <v/>
      </c>
      <c r="J127" s="42" t="n"/>
      <c r="K127" s="43" t="n"/>
      <c r="L127" s="45" t="n"/>
    </row>
    <row r="128" ht="15" customHeight="1" s="36">
      <c r="A128" s="39" t="n">
        <v>8</v>
      </c>
      <c r="B128" s="40" t="inlineStr">
        <is>
          <t>2-D DP 二维动态规划</t>
        </is>
      </c>
      <c r="C128" s="39" t="n">
        <v>518</v>
      </c>
      <c r="D128" s="41" t="inlineStr">
        <is>
          <t>Coin Change II</t>
        </is>
      </c>
      <c r="E128" s="39" t="inlineStr">
        <is>
          <t>Medium</t>
        </is>
      </c>
      <c r="F128" s="42" t="n"/>
      <c r="G128" s="43" t="n"/>
      <c r="H128" s="44" t="n"/>
      <c r="I128" s="39">
        <f>IF(OR(K128&lt;&gt;"",J128&lt;&gt;""),"是",IF(OR(G128&lt;&gt;"",F128&lt;&gt;""),"否",""))</f>
        <v/>
      </c>
      <c r="J128" s="42" t="n"/>
      <c r="K128" s="43" t="n"/>
      <c r="L128" s="45" t="n"/>
    </row>
    <row r="129" ht="15" customHeight="1" s="36">
      <c r="A129" s="39" t="n">
        <v>8</v>
      </c>
      <c r="B129" s="40" t="inlineStr">
        <is>
          <t>2-D DP 二维动态规划</t>
        </is>
      </c>
      <c r="C129" s="39" t="n">
        <v>494</v>
      </c>
      <c r="D129" s="41" t="inlineStr">
        <is>
          <t>Target Sum</t>
        </is>
      </c>
      <c r="E129" s="39" t="inlineStr">
        <is>
          <t>Medium</t>
        </is>
      </c>
      <c r="F129" s="42" t="n"/>
      <c r="G129" s="43" t="n"/>
      <c r="H129" s="44" t="n"/>
      <c r="I129" s="39">
        <f>IF(OR(K129&lt;&gt;"",J129&lt;&gt;""),"是",IF(OR(G129&lt;&gt;"",F129&lt;&gt;""),"否",""))</f>
        <v/>
      </c>
      <c r="J129" s="42" t="n"/>
      <c r="K129" s="43" t="n"/>
      <c r="L129" s="45" t="n"/>
    </row>
    <row r="130" ht="15" customHeight="1" s="36">
      <c r="A130" s="39" t="n">
        <v>8</v>
      </c>
      <c r="B130" s="40" t="inlineStr">
        <is>
          <t>2-D DP 二维动态规划</t>
        </is>
      </c>
      <c r="C130" s="39" t="n">
        <v>97</v>
      </c>
      <c r="D130" s="41" t="inlineStr">
        <is>
          <t>Interleaving String</t>
        </is>
      </c>
      <c r="E130" s="39" t="inlineStr">
        <is>
          <t>Medium</t>
        </is>
      </c>
      <c r="F130" s="42" t="n"/>
      <c r="G130" s="43" t="n"/>
      <c r="H130" s="44" t="n"/>
      <c r="I130" s="39">
        <f>IF(OR(K130&lt;&gt;"",J130&lt;&gt;""),"是",IF(OR(G130&lt;&gt;"",F130&lt;&gt;""),"否",""))</f>
        <v/>
      </c>
      <c r="J130" s="42" t="n"/>
      <c r="K130" s="43" t="n"/>
      <c r="L130" s="45" t="n"/>
    </row>
    <row r="131" ht="15" customHeight="1" s="36">
      <c r="A131" s="39" t="n">
        <v>8</v>
      </c>
      <c r="B131" s="40" t="inlineStr">
        <is>
          <t>2-D DP 二维动态规划</t>
        </is>
      </c>
      <c r="C131" s="39" t="n">
        <v>329</v>
      </c>
      <c r="D131" s="41" t="inlineStr">
        <is>
          <t>Longest Increasing Path in a Matrix</t>
        </is>
      </c>
      <c r="E131" s="39" t="inlineStr">
        <is>
          <t>Hard</t>
        </is>
      </c>
      <c r="F131" s="42" t="n"/>
      <c r="G131" s="43" t="n"/>
      <c r="H131" s="44" t="n"/>
      <c r="I131" s="39">
        <f>IF(OR(K131&lt;&gt;"",J131&lt;&gt;""),"是",IF(OR(G131&lt;&gt;"",F131&lt;&gt;""),"否",""))</f>
        <v/>
      </c>
      <c r="J131" s="42" t="n"/>
      <c r="K131" s="43" t="n"/>
      <c r="L131" s="45" t="n"/>
    </row>
    <row r="132" ht="15" customHeight="1" s="36">
      <c r="A132" s="39" t="n">
        <v>8</v>
      </c>
      <c r="B132" s="40" t="inlineStr">
        <is>
          <t>2-D DP 二维动态规划</t>
        </is>
      </c>
      <c r="C132" s="39" t="n">
        <v>115</v>
      </c>
      <c r="D132" s="41" t="inlineStr">
        <is>
          <t>Distinct Subsequences</t>
        </is>
      </c>
      <c r="E132" s="39" t="inlineStr">
        <is>
          <t>Hard</t>
        </is>
      </c>
      <c r="F132" s="42" t="n"/>
      <c r="G132" s="43" t="n"/>
      <c r="H132" s="44" t="n"/>
      <c r="I132" s="39">
        <f>IF(OR(K132&lt;&gt;"",J132&lt;&gt;""),"是",IF(OR(G132&lt;&gt;"",F132&lt;&gt;""),"否",""))</f>
        <v/>
      </c>
      <c r="J132" s="42" t="n"/>
      <c r="K132" s="43" t="n"/>
      <c r="L132" s="45" t="n"/>
    </row>
    <row r="133" ht="15" customHeight="1" s="36">
      <c r="A133" s="39" t="n">
        <v>8</v>
      </c>
      <c r="B133" s="40" t="inlineStr">
        <is>
          <t>2-D DP 二维动态规划</t>
        </is>
      </c>
      <c r="C133" s="39" t="n">
        <v>72</v>
      </c>
      <c r="D133" s="41" t="inlineStr">
        <is>
          <t>Edit Distance</t>
        </is>
      </c>
      <c r="E133" s="39" t="inlineStr">
        <is>
          <t>Medium</t>
        </is>
      </c>
      <c r="F133" s="42" t="n"/>
      <c r="G133" s="43" t="n"/>
      <c r="H133" s="44" t="n"/>
      <c r="I133" s="39">
        <f>IF(OR(K133&lt;&gt;"",J133&lt;&gt;""),"是",IF(OR(G133&lt;&gt;"",F133&lt;&gt;""),"否",""))</f>
        <v/>
      </c>
      <c r="J133" s="42" t="n"/>
      <c r="K133" s="43" t="n"/>
      <c r="L133" s="45" t="n"/>
    </row>
    <row r="134" ht="15" customHeight="1" s="36">
      <c r="A134" s="39" t="n">
        <v>8</v>
      </c>
      <c r="B134" s="40" t="inlineStr">
        <is>
          <t>2-D DP 二维动态规划</t>
        </is>
      </c>
      <c r="C134" s="39" t="n">
        <v>312</v>
      </c>
      <c r="D134" s="41" t="inlineStr">
        <is>
          <t>Burst Balloons</t>
        </is>
      </c>
      <c r="E134" s="39" t="inlineStr">
        <is>
          <t>Hard</t>
        </is>
      </c>
      <c r="F134" s="42" t="n"/>
      <c r="G134" s="43" t="n"/>
      <c r="H134" s="44" t="n"/>
      <c r="I134" s="39">
        <f>IF(OR(K134&lt;&gt;"",J134&lt;&gt;""),"是",IF(OR(G134&lt;&gt;"",F134&lt;&gt;""),"否",""))</f>
        <v/>
      </c>
      <c r="J134" s="42" t="n"/>
      <c r="K134" s="43" t="n"/>
      <c r="L134" s="45" t="n"/>
    </row>
    <row r="135" ht="15" customHeight="1" s="36">
      <c r="A135" s="39" t="n">
        <v>8</v>
      </c>
      <c r="B135" s="40" t="inlineStr">
        <is>
          <t>2-D DP 二维动态规划</t>
        </is>
      </c>
      <c r="C135" s="39" t="n">
        <v>10</v>
      </c>
      <c r="D135" s="41" t="inlineStr">
        <is>
          <t>Regular Expression Matching</t>
        </is>
      </c>
      <c r="E135" s="39" t="inlineStr">
        <is>
          <t>Hard</t>
        </is>
      </c>
      <c r="F135" s="42" t="n"/>
      <c r="G135" s="43" t="n"/>
      <c r="H135" s="44" t="n"/>
      <c r="I135" s="39">
        <f>IF(OR(K135&lt;&gt;"",J135&lt;&gt;""),"是",IF(OR(G135&lt;&gt;"",F135&lt;&gt;""),"否",""))</f>
        <v/>
      </c>
      <c r="J135" s="42" t="n"/>
      <c r="K135" s="43" t="n"/>
      <c r="L135" s="45" t="n"/>
    </row>
    <row r="136" ht="15" customHeight="1" s="36">
      <c r="A136" s="39" t="n">
        <v>9</v>
      </c>
      <c r="B136" s="40" t="inlineStr">
        <is>
          <t>Greedy 贪心</t>
        </is>
      </c>
      <c r="C136" s="39" t="n">
        <v>53</v>
      </c>
      <c r="D136" s="41" t="inlineStr">
        <is>
          <t>Maximum Subarray</t>
        </is>
      </c>
      <c r="E136" s="39" t="inlineStr">
        <is>
          <t>Medium</t>
        </is>
      </c>
      <c r="F136" s="42" t="n"/>
      <c r="G136" s="43" t="n"/>
      <c r="H136" s="44" t="n"/>
      <c r="I136" s="39">
        <f>IF(OR(K136&lt;&gt;"",J136&lt;&gt;""),"是",IF(OR(G136&lt;&gt;"",F136&lt;&gt;""),"否",""))</f>
        <v/>
      </c>
      <c r="J136" s="42" t="n"/>
      <c r="K136" s="43" t="n"/>
      <c r="L136" s="45" t="n"/>
    </row>
    <row r="137" ht="15" customHeight="1" s="36">
      <c r="A137" s="39" t="n">
        <v>9</v>
      </c>
      <c r="B137" s="40" t="inlineStr">
        <is>
          <t>Greedy 贪心</t>
        </is>
      </c>
      <c r="C137" s="39" t="n">
        <v>55</v>
      </c>
      <c r="D137" s="41" t="inlineStr">
        <is>
          <t>Jump Game</t>
        </is>
      </c>
      <c r="E137" s="39" t="inlineStr">
        <is>
          <t>Medium</t>
        </is>
      </c>
      <c r="F137" s="42" t="n"/>
      <c r="G137" s="43" t="n"/>
      <c r="H137" s="44" t="n"/>
      <c r="I137" s="39">
        <f>IF(OR(K137&lt;&gt;"",J137&lt;&gt;""),"是",IF(OR(G137&lt;&gt;"",F137&lt;&gt;""),"否",""))</f>
        <v/>
      </c>
      <c r="J137" s="42" t="n"/>
      <c r="K137" s="43" t="n"/>
      <c r="L137" s="45" t="n"/>
    </row>
    <row r="138" ht="15" customHeight="1" s="36">
      <c r="A138" s="39" t="n">
        <v>9</v>
      </c>
      <c r="B138" s="40" t="inlineStr">
        <is>
          <t>Greedy 贪心</t>
        </is>
      </c>
      <c r="C138" s="39" t="n">
        <v>45</v>
      </c>
      <c r="D138" s="41" t="inlineStr">
        <is>
          <t>Jump Game II</t>
        </is>
      </c>
      <c r="E138" s="39" t="inlineStr">
        <is>
          <t>Medium</t>
        </is>
      </c>
      <c r="F138" s="42" t="n"/>
      <c r="G138" s="43" t="n"/>
      <c r="H138" s="44" t="n"/>
      <c r="I138" s="39">
        <f>IF(OR(K138&lt;&gt;"",J138&lt;&gt;""),"是",IF(OR(G138&lt;&gt;"",F138&lt;&gt;""),"否",""))</f>
        <v/>
      </c>
      <c r="J138" s="42" t="n"/>
      <c r="K138" s="43" t="n"/>
      <c r="L138" s="45" t="n"/>
    </row>
    <row r="139" ht="15" customHeight="1" s="36">
      <c r="A139" s="39" t="n">
        <v>9</v>
      </c>
      <c r="B139" s="40" t="inlineStr">
        <is>
          <t>Greedy 贪心</t>
        </is>
      </c>
      <c r="C139" s="39" t="n">
        <v>134</v>
      </c>
      <c r="D139" s="41" t="inlineStr">
        <is>
          <t>Gas Station</t>
        </is>
      </c>
      <c r="E139" s="39" t="inlineStr">
        <is>
          <t>Medium</t>
        </is>
      </c>
      <c r="F139" s="42" t="n"/>
      <c r="G139" s="43" t="n"/>
      <c r="H139" s="44" t="n"/>
      <c r="I139" s="39">
        <f>IF(OR(K139&lt;&gt;"",J139&lt;&gt;""),"是",IF(OR(G139&lt;&gt;"",F139&lt;&gt;""),"否",""))</f>
        <v/>
      </c>
      <c r="J139" s="42" t="n"/>
      <c r="K139" s="43" t="n"/>
      <c r="L139" s="45" t="n"/>
    </row>
    <row r="140" ht="15" customHeight="1" s="36">
      <c r="A140" s="39" t="n">
        <v>9</v>
      </c>
      <c r="B140" s="40" t="inlineStr">
        <is>
          <t>Greedy 贪心</t>
        </is>
      </c>
      <c r="C140" s="39" t="n">
        <v>846</v>
      </c>
      <c r="D140" s="41" t="inlineStr">
        <is>
          <t>Hand of Straights</t>
        </is>
      </c>
      <c r="E140" s="39" t="inlineStr">
        <is>
          <t>Medium</t>
        </is>
      </c>
      <c r="F140" s="42" t="n"/>
      <c r="G140" s="43" t="n"/>
      <c r="H140" s="44" t="n"/>
      <c r="I140" s="39">
        <f>IF(OR(K140&lt;&gt;"",J140&lt;&gt;""),"是",IF(OR(G140&lt;&gt;"",F140&lt;&gt;""),"否",""))</f>
        <v/>
      </c>
      <c r="J140" s="42" t="n"/>
      <c r="K140" s="43" t="n"/>
      <c r="L140" s="45" t="n"/>
    </row>
    <row r="141" ht="15" customHeight="1" s="36">
      <c r="A141" s="39" t="n">
        <v>9</v>
      </c>
      <c r="B141" s="40" t="inlineStr">
        <is>
          <t>Greedy 贪心</t>
        </is>
      </c>
      <c r="C141" s="39" t="n">
        <v>1899</v>
      </c>
      <c r="D141" s="41" t="inlineStr">
        <is>
          <t>Merge Triplets to Form Target Triplet</t>
        </is>
      </c>
      <c r="E141" s="39" t="inlineStr">
        <is>
          <t>Medium</t>
        </is>
      </c>
      <c r="F141" s="42" t="n"/>
      <c r="G141" s="43" t="n"/>
      <c r="H141" s="44" t="n"/>
      <c r="I141" s="39">
        <f>IF(OR(K141&lt;&gt;"",J141&lt;&gt;""),"是",IF(OR(G141&lt;&gt;"",F141&lt;&gt;""),"否",""))</f>
        <v/>
      </c>
      <c r="J141" s="42" t="n"/>
      <c r="K141" s="43" t="n"/>
      <c r="L141" s="45" t="n"/>
    </row>
    <row r="142" ht="15" customHeight="1" s="36">
      <c r="A142" s="39" t="n">
        <v>9</v>
      </c>
      <c r="B142" s="40" t="inlineStr">
        <is>
          <t>Greedy 贪心</t>
        </is>
      </c>
      <c r="C142" s="39" t="n">
        <v>763</v>
      </c>
      <c r="D142" s="41" t="inlineStr">
        <is>
          <t>Partition Labels</t>
        </is>
      </c>
      <c r="E142" s="39" t="inlineStr">
        <is>
          <t>Medium</t>
        </is>
      </c>
      <c r="F142" s="42" t="n"/>
      <c r="G142" s="43" t="n"/>
      <c r="H142" s="44" t="n"/>
      <c r="I142" s="39">
        <f>IF(OR(K142&lt;&gt;"",J142&lt;&gt;""),"是",IF(OR(G142&lt;&gt;"",F142&lt;&gt;""),"否",""))</f>
        <v/>
      </c>
      <c r="J142" s="42" t="n"/>
      <c r="K142" s="43" t="n"/>
      <c r="L142" s="45" t="n"/>
    </row>
    <row r="143" ht="15" customHeight="1" s="36">
      <c r="A143" s="39" t="n">
        <v>9</v>
      </c>
      <c r="B143" s="40" t="inlineStr">
        <is>
          <t>Greedy 贪心</t>
        </is>
      </c>
      <c r="C143" s="39" t="n">
        <v>678</v>
      </c>
      <c r="D143" s="41" t="inlineStr">
        <is>
          <t>Valid Parenthesis String</t>
        </is>
      </c>
      <c r="E143" s="39" t="inlineStr">
        <is>
          <t>Medium</t>
        </is>
      </c>
      <c r="F143" s="42" t="n"/>
      <c r="G143" s="43" t="n"/>
      <c r="H143" s="44" t="n"/>
      <c r="I143" s="39">
        <f>IF(OR(K143&lt;&gt;"",J143&lt;&gt;""),"是",IF(OR(G143&lt;&gt;"",F143&lt;&gt;""),"否",""))</f>
        <v/>
      </c>
      <c r="J143" s="42" t="n"/>
      <c r="K143" s="43" t="n"/>
      <c r="L143" s="45" t="n"/>
    </row>
    <row r="144" ht="15" customHeight="1" s="36">
      <c r="A144" s="39" t="n">
        <v>9</v>
      </c>
      <c r="B144" s="40" t="inlineStr">
        <is>
          <t>Greedy 贪心</t>
        </is>
      </c>
      <c r="C144" s="39" t="n">
        <v>122</v>
      </c>
      <c r="D144" s="41" t="inlineStr">
        <is>
          <t>Best Time to Buy and Sell Stock II</t>
        </is>
      </c>
      <c r="E144" s="39" t="inlineStr">
        <is>
          <t>Medium</t>
        </is>
      </c>
      <c r="F144" s="42" t="n"/>
      <c r="G144" s="43" t="n"/>
      <c r="H144" s="44" t="n"/>
      <c r="I144" s="39">
        <f>IF(OR(K144&lt;&gt;"",J144&lt;&gt;""),"是",IF(OR(G144&lt;&gt;"",F144&lt;&gt;""),"否",""))</f>
        <v/>
      </c>
      <c r="J144" s="42" t="n"/>
      <c r="K144" s="43" t="n"/>
      <c r="L144" s="45" t="n"/>
    </row>
    <row r="145" ht="15" customHeight="1" s="36">
      <c r="A145" s="39" t="n">
        <v>9</v>
      </c>
      <c r="B145" s="40" t="inlineStr">
        <is>
          <t>Intervals 区间</t>
        </is>
      </c>
      <c r="C145" s="39" t="n">
        <v>57</v>
      </c>
      <c r="D145" s="41" t="inlineStr">
        <is>
          <t>Insert Interval</t>
        </is>
      </c>
      <c r="E145" s="39" t="inlineStr">
        <is>
          <t>Medium</t>
        </is>
      </c>
      <c r="F145" s="42" t="n"/>
      <c r="G145" s="43" t="n"/>
      <c r="H145" s="44" t="n"/>
      <c r="I145" s="39">
        <f>IF(OR(K145&lt;&gt;"",J145&lt;&gt;""),"是",IF(OR(G145&lt;&gt;"",F145&lt;&gt;""),"否",""))</f>
        <v/>
      </c>
      <c r="J145" s="42" t="n"/>
      <c r="K145" s="43" t="n"/>
      <c r="L145" s="45" t="n"/>
    </row>
    <row r="146" ht="15" customHeight="1" s="36">
      <c r="A146" s="39" t="n">
        <v>9</v>
      </c>
      <c r="B146" s="40" t="inlineStr">
        <is>
          <t>Intervals 区间</t>
        </is>
      </c>
      <c r="C146" s="39" t="n">
        <v>56</v>
      </c>
      <c r="D146" s="41" t="inlineStr">
        <is>
          <t>Merge Intervals</t>
        </is>
      </c>
      <c r="E146" s="39" t="inlineStr">
        <is>
          <t>Medium</t>
        </is>
      </c>
      <c r="F146" s="42" t="n"/>
      <c r="G146" s="43" t="n"/>
      <c r="H146" s="44" t="n"/>
      <c r="I146" s="39">
        <f>IF(OR(K146&lt;&gt;"",J146&lt;&gt;""),"是",IF(OR(G146&lt;&gt;"",F146&lt;&gt;""),"否",""))</f>
        <v/>
      </c>
      <c r="J146" s="42" t="n"/>
      <c r="K146" s="43" t="n"/>
      <c r="L146" s="45" t="n"/>
    </row>
    <row r="147" ht="15" customHeight="1" s="36">
      <c r="A147" s="39" t="n">
        <v>9</v>
      </c>
      <c r="B147" s="40" t="inlineStr">
        <is>
          <t>Intervals 区间</t>
        </is>
      </c>
      <c r="C147" s="39" t="n">
        <v>435</v>
      </c>
      <c r="D147" s="41" t="inlineStr">
        <is>
          <t>Non-overlapping Intervals</t>
        </is>
      </c>
      <c r="E147" s="39" t="inlineStr">
        <is>
          <t>Medium</t>
        </is>
      </c>
      <c r="F147" s="42" t="n"/>
      <c r="G147" s="43" t="n"/>
      <c r="H147" s="44" t="n"/>
      <c r="I147" s="39">
        <f>IF(OR(K147&lt;&gt;"",J147&lt;&gt;""),"是",IF(OR(G147&lt;&gt;"",F147&lt;&gt;""),"否",""))</f>
        <v/>
      </c>
      <c r="J147" s="42" t="n"/>
      <c r="K147" s="43" t="n"/>
      <c r="L147" s="45" t="n"/>
    </row>
    <row r="148" ht="15" customHeight="1" s="36">
      <c r="A148" s="39" t="n">
        <v>9</v>
      </c>
      <c r="B148" s="40" t="inlineStr">
        <is>
          <t>Intervals 区间</t>
        </is>
      </c>
      <c r="C148" s="39" t="n">
        <v>252</v>
      </c>
      <c r="D148" s="41" t="inlineStr">
        <is>
          <t>Meeting Rooms</t>
        </is>
      </c>
      <c r="E148" s="39" t="inlineStr">
        <is>
          <t>Easy</t>
        </is>
      </c>
      <c r="F148" s="42" t="n"/>
      <c r="G148" s="43" t="n"/>
      <c r="H148" s="44" t="n"/>
      <c r="I148" s="39">
        <f>IF(OR(K148&lt;&gt;"",J148&lt;&gt;""),"是",IF(OR(G148&lt;&gt;"",F148&lt;&gt;""),"否",""))</f>
        <v/>
      </c>
      <c r="J148" s="42" t="n"/>
      <c r="K148" s="43" t="n"/>
      <c r="L148" s="45" t="inlineStr">
        <is>
          <t>LeetCode 会员题（可在 neetcode.io 找同名题练习）</t>
        </is>
      </c>
    </row>
    <row r="149" ht="15" customHeight="1" s="36">
      <c r="A149" s="39" t="n">
        <v>9</v>
      </c>
      <c r="B149" s="40" t="inlineStr">
        <is>
          <t>Intervals 区间</t>
        </is>
      </c>
      <c r="C149" s="39" t="n">
        <v>253</v>
      </c>
      <c r="D149" s="41" t="inlineStr">
        <is>
          <t>Meeting Rooms II</t>
        </is>
      </c>
      <c r="E149" s="39" t="inlineStr">
        <is>
          <t>Medium</t>
        </is>
      </c>
      <c r="F149" s="42" t="n"/>
      <c r="G149" s="43" t="n"/>
      <c r="H149" s="44" t="n"/>
      <c r="I149" s="39">
        <f>IF(OR(K149&lt;&gt;"",J149&lt;&gt;""),"是",IF(OR(G149&lt;&gt;"",F149&lt;&gt;""),"否",""))</f>
        <v/>
      </c>
      <c r="J149" s="42" t="n"/>
      <c r="K149" s="43" t="n"/>
      <c r="L149" s="45" t="inlineStr">
        <is>
          <t>LeetCode 会员题（可在 neetcode.io 找同名题练习）</t>
        </is>
      </c>
    </row>
    <row r="150" ht="15" customHeight="1" s="36">
      <c r="A150" s="39" t="n">
        <v>9</v>
      </c>
      <c r="B150" s="40" t="inlineStr">
        <is>
          <t>Intervals 区间</t>
        </is>
      </c>
      <c r="C150" s="39" t="n">
        <v>1851</v>
      </c>
      <c r="D150" s="41" t="inlineStr">
        <is>
          <t>Minimum Interval to Include Each Query</t>
        </is>
      </c>
      <c r="E150" s="39" t="inlineStr">
        <is>
          <t>Hard</t>
        </is>
      </c>
      <c r="F150" s="42" t="n"/>
      <c r="G150" s="43" t="n"/>
      <c r="H150" s="44" t="n"/>
      <c r="I150" s="39">
        <f>IF(OR(K150&lt;&gt;"",J150&lt;&gt;""),"是",IF(OR(G150&lt;&gt;"",F150&lt;&gt;""),"否",""))</f>
        <v/>
      </c>
      <c r="J150" s="42" t="n"/>
      <c r="K150" s="43" t="n"/>
      <c r="L150" s="45" t="n"/>
    </row>
    <row r="151" ht="15" customHeight="1" s="36">
      <c r="A151" s="39" t="n">
        <v>9</v>
      </c>
      <c r="B151" s="40" t="inlineStr">
        <is>
          <t>Math &amp; Geometry 数学与几何</t>
        </is>
      </c>
      <c r="C151" s="39" t="n">
        <v>48</v>
      </c>
      <c r="D151" s="41" t="inlineStr">
        <is>
          <t>Rotate Image</t>
        </is>
      </c>
      <c r="E151" s="39" t="inlineStr">
        <is>
          <t>Medium</t>
        </is>
      </c>
      <c r="F151" s="42" t="n"/>
      <c r="G151" s="43" t="n"/>
      <c r="H151" s="44" t="n"/>
      <c r="I151" s="39">
        <f>IF(OR(K151&lt;&gt;"",J151&lt;&gt;""),"是",IF(OR(G151&lt;&gt;"",F151&lt;&gt;""),"否",""))</f>
        <v/>
      </c>
      <c r="J151" s="42" t="n"/>
      <c r="K151" s="43" t="n"/>
      <c r="L151" s="45" t="n"/>
    </row>
    <row r="152" ht="15" customHeight="1" s="36">
      <c r="A152" s="39" t="n">
        <v>9</v>
      </c>
      <c r="B152" s="40" t="inlineStr">
        <is>
          <t>Math &amp; Geometry 数学与几何</t>
        </is>
      </c>
      <c r="C152" s="39" t="n">
        <v>54</v>
      </c>
      <c r="D152" s="41" t="inlineStr">
        <is>
          <t>Spiral Matrix</t>
        </is>
      </c>
      <c r="E152" s="39" t="inlineStr">
        <is>
          <t>Medium</t>
        </is>
      </c>
      <c r="F152" s="42" t="n"/>
      <c r="G152" s="43" t="n"/>
      <c r="H152" s="44" t="n"/>
      <c r="I152" s="39">
        <f>IF(OR(K152&lt;&gt;"",J152&lt;&gt;""),"是",IF(OR(G152&lt;&gt;"",F152&lt;&gt;""),"否",""))</f>
        <v/>
      </c>
      <c r="J152" s="42" t="n"/>
      <c r="K152" s="43" t="n"/>
      <c r="L152" s="45" t="n"/>
    </row>
    <row r="153" ht="15" customHeight="1" s="36">
      <c r="A153" s="39" t="n">
        <v>9</v>
      </c>
      <c r="B153" s="40" t="inlineStr">
        <is>
          <t>Math &amp; Geometry 数学与几何</t>
        </is>
      </c>
      <c r="C153" s="39" t="n">
        <v>73</v>
      </c>
      <c r="D153" s="41" t="inlineStr">
        <is>
          <t>Set Matrix Zeroes</t>
        </is>
      </c>
      <c r="E153" s="39" t="inlineStr">
        <is>
          <t>Medium</t>
        </is>
      </c>
      <c r="F153" s="42" t="n"/>
      <c r="G153" s="43" t="n"/>
      <c r="H153" s="44" t="n"/>
      <c r="I153" s="39">
        <f>IF(OR(K153&lt;&gt;"",J153&lt;&gt;""),"是",IF(OR(G153&lt;&gt;"",F153&lt;&gt;""),"否",""))</f>
        <v/>
      </c>
      <c r="J153" s="42" t="n"/>
      <c r="K153" s="43" t="n"/>
      <c r="L153" s="45" t="n"/>
    </row>
    <row r="154" ht="15" customHeight="1" s="36">
      <c r="A154" s="39" t="n">
        <v>9</v>
      </c>
      <c r="B154" s="40" t="inlineStr">
        <is>
          <t>Math &amp; Geometry 数学与几何</t>
        </is>
      </c>
      <c r="C154" s="39" t="n">
        <v>202</v>
      </c>
      <c r="D154" s="41" t="inlineStr">
        <is>
          <t>Happy Number</t>
        </is>
      </c>
      <c r="E154" s="39" t="inlineStr">
        <is>
          <t>Easy</t>
        </is>
      </c>
      <c r="F154" s="42" t="n"/>
      <c r="G154" s="43" t="n"/>
      <c r="H154" s="44" t="n"/>
      <c r="I154" s="39">
        <f>IF(OR(K154&lt;&gt;"",J154&lt;&gt;""),"是",IF(OR(G154&lt;&gt;"",F154&lt;&gt;""),"否",""))</f>
        <v/>
      </c>
      <c r="J154" s="42" t="n"/>
      <c r="K154" s="43" t="n"/>
      <c r="L154" s="45" t="n"/>
    </row>
    <row r="155" ht="15" customHeight="1" s="36">
      <c r="A155" s="39" t="n">
        <v>9</v>
      </c>
      <c r="B155" s="40" t="inlineStr">
        <is>
          <t>Math &amp; Geometry 数学与几何</t>
        </is>
      </c>
      <c r="C155" s="39" t="n">
        <v>66</v>
      </c>
      <c r="D155" s="41" t="inlineStr">
        <is>
          <t>Plus One</t>
        </is>
      </c>
      <c r="E155" s="39" t="inlineStr">
        <is>
          <t>Easy</t>
        </is>
      </c>
      <c r="F155" s="42" t="n"/>
      <c r="G155" s="43" t="n"/>
      <c r="H155" s="44" t="n"/>
      <c r="I155" s="39">
        <f>IF(OR(K155&lt;&gt;"",J155&lt;&gt;""),"是",IF(OR(G155&lt;&gt;"",F155&lt;&gt;""),"否",""))</f>
        <v/>
      </c>
      <c r="J155" s="42" t="n"/>
      <c r="K155" s="43" t="n"/>
      <c r="L155" s="45" t="n"/>
    </row>
    <row r="156" ht="15" customHeight="1" s="36">
      <c r="A156" s="39" t="n">
        <v>9</v>
      </c>
      <c r="B156" s="40" t="inlineStr">
        <is>
          <t>Math &amp; Geometry 数学与几何</t>
        </is>
      </c>
      <c r="C156" s="39" t="n">
        <v>43</v>
      </c>
      <c r="D156" s="41" t="inlineStr">
        <is>
          <t>Multiply Strings</t>
        </is>
      </c>
      <c r="E156" s="39" t="inlineStr">
        <is>
          <t>Medium</t>
        </is>
      </c>
      <c r="F156" s="42" t="n"/>
      <c r="G156" s="43" t="n"/>
      <c r="H156" s="44" t="n"/>
      <c r="I156" s="39">
        <f>IF(OR(K156&lt;&gt;"",J156&lt;&gt;""),"是",IF(OR(G156&lt;&gt;"",F156&lt;&gt;""),"否",""))</f>
        <v/>
      </c>
      <c r="J156" s="42" t="n"/>
      <c r="K156" s="43" t="n"/>
      <c r="L156" s="45" t="n"/>
    </row>
    <row r="157" ht="15" customHeight="1" s="36">
      <c r="A157" s="39" t="n">
        <v>9</v>
      </c>
      <c r="B157" s="40" t="inlineStr">
        <is>
          <t>Math &amp; Geometry 数学与几何</t>
        </is>
      </c>
      <c r="C157" s="39" t="n">
        <v>2013</v>
      </c>
      <c r="D157" s="41" t="inlineStr">
        <is>
          <t>Detect Squares</t>
        </is>
      </c>
      <c r="E157" s="39" t="inlineStr">
        <is>
          <t>Medium</t>
        </is>
      </c>
      <c r="F157" s="42" t="n"/>
      <c r="G157" s="43" t="n"/>
      <c r="H157" s="44" t="n"/>
      <c r="I157" s="39">
        <f>IF(OR(K157&lt;&gt;"",J157&lt;&gt;""),"是",IF(OR(G157&lt;&gt;"",F157&lt;&gt;""),"否",""))</f>
        <v/>
      </c>
      <c r="J157" s="42" t="n"/>
      <c r="K157" s="43" t="n"/>
      <c r="L157" s="45" t="n"/>
    </row>
    <row r="158" ht="15" customHeight="1" s="36">
      <c r="A158" s="39" t="n">
        <v>9</v>
      </c>
      <c r="B158" s="40" t="inlineStr">
        <is>
          <t>Math &amp; Geometry 数学与几何</t>
        </is>
      </c>
      <c r="C158" s="39" t="n">
        <v>8</v>
      </c>
      <c r="D158" s="41" t="inlineStr">
        <is>
          <t>String to Integer (atoi)</t>
        </is>
      </c>
      <c r="E158" s="39" t="inlineStr">
        <is>
          <t>Medium</t>
        </is>
      </c>
      <c r="F158" s="42" t="n"/>
      <c r="G158" s="43" t="n"/>
      <c r="H158" s="44" t="n"/>
      <c r="I158" s="39">
        <f>IF(OR(K158&lt;&gt;"",J158&lt;&gt;""),"是",IF(OR(G158&lt;&gt;"",F158&lt;&gt;""),"否",""))</f>
        <v/>
      </c>
      <c r="J158" s="42" t="n"/>
      <c r="K158" s="43" t="n"/>
      <c r="L158" s="45" t="n"/>
    </row>
    <row r="159" ht="15" customHeight="1" s="36">
      <c r="A159" s="39" t="n">
        <v>9</v>
      </c>
      <c r="B159" s="40" t="inlineStr">
        <is>
          <t>Bit Manipulation 位运算</t>
        </is>
      </c>
      <c r="C159" s="39" t="n">
        <v>191</v>
      </c>
      <c r="D159" s="41" t="inlineStr">
        <is>
          <t>Number of 1 Bits</t>
        </is>
      </c>
      <c r="E159" s="39" t="inlineStr">
        <is>
          <t>Easy</t>
        </is>
      </c>
      <c r="F159" s="42" t="n"/>
      <c r="G159" s="43" t="n"/>
      <c r="H159" s="44" t="n"/>
      <c r="I159" s="39">
        <f>IF(OR(K159&lt;&gt;"",J159&lt;&gt;""),"是",IF(OR(G159&lt;&gt;"",F159&lt;&gt;""),"否",""))</f>
        <v/>
      </c>
      <c r="J159" s="42" t="n"/>
      <c r="K159" s="43" t="n"/>
      <c r="L159" s="45" t="n"/>
    </row>
    <row r="160" ht="15" customHeight="1" s="36">
      <c r="A160" s="39" t="n">
        <v>9</v>
      </c>
      <c r="B160" s="40" t="inlineStr">
        <is>
          <t>Bit Manipulation 位运算</t>
        </is>
      </c>
      <c r="C160" s="39" t="n">
        <v>338</v>
      </c>
      <c r="D160" s="41" t="inlineStr">
        <is>
          <t>Counting Bits</t>
        </is>
      </c>
      <c r="E160" s="39" t="inlineStr">
        <is>
          <t>Easy</t>
        </is>
      </c>
      <c r="F160" s="42" t="n"/>
      <c r="G160" s="43" t="n"/>
      <c r="H160" s="44" t="n"/>
      <c r="I160" s="39">
        <f>IF(OR(K160&lt;&gt;"",J160&lt;&gt;""),"是",IF(OR(G160&lt;&gt;"",F160&lt;&gt;""),"否",""))</f>
        <v/>
      </c>
      <c r="J160" s="42" t="n"/>
      <c r="K160" s="43" t="n"/>
      <c r="L160" s="45" t="n"/>
    </row>
    <row r="161" ht="15" customHeight="1" s="36">
      <c r="A161" s="39" t="n">
        <v>9</v>
      </c>
      <c r="B161" s="40" t="inlineStr">
        <is>
          <t>Bit Manipulation 位运算</t>
        </is>
      </c>
      <c r="C161" s="39" t="n">
        <v>190</v>
      </c>
      <c r="D161" s="41" t="inlineStr">
        <is>
          <t>Reverse Bits</t>
        </is>
      </c>
      <c r="E161" s="39" t="inlineStr">
        <is>
          <t>Easy</t>
        </is>
      </c>
      <c r="F161" s="42" t="n"/>
      <c r="G161" s="43" t="n"/>
      <c r="H161" s="44" t="n"/>
      <c r="I161" s="39">
        <f>IF(OR(K161&lt;&gt;"",J161&lt;&gt;""),"是",IF(OR(G161&lt;&gt;"",F161&lt;&gt;""),"否",""))</f>
        <v/>
      </c>
      <c r="J161" s="42" t="n"/>
      <c r="K161" s="43" t="n"/>
      <c r="L161" s="45" t="n"/>
    </row>
    <row r="162" ht="15" customHeight="1" s="36">
      <c r="A162" s="39" t="n">
        <v>9</v>
      </c>
      <c r="B162" s="40" t="inlineStr">
        <is>
          <t>Bit Manipulation 位运算</t>
        </is>
      </c>
      <c r="C162" s="39" t="n">
        <v>268</v>
      </c>
      <c r="D162" s="41" t="inlineStr">
        <is>
          <t>Missing Number</t>
        </is>
      </c>
      <c r="E162" s="39" t="inlineStr">
        <is>
          <t>Easy</t>
        </is>
      </c>
      <c r="F162" s="42" t="n"/>
      <c r="G162" s="43" t="n"/>
      <c r="H162" s="44" t="n"/>
      <c r="I162" s="39">
        <f>IF(OR(K162&lt;&gt;"",J162&lt;&gt;""),"是",IF(OR(G162&lt;&gt;"",F162&lt;&gt;""),"否",""))</f>
        <v/>
      </c>
      <c r="J162" s="42" t="n"/>
      <c r="K162" s="43" t="n"/>
      <c r="L162" s="45" t="n"/>
    </row>
    <row r="163" ht="15" customHeight="1" s="36">
      <c r="A163" s="39" t="n">
        <v>9</v>
      </c>
      <c r="B163" s="40" t="inlineStr">
        <is>
          <t>Bit Manipulation 位运算</t>
        </is>
      </c>
      <c r="C163" s="39" t="n">
        <v>67</v>
      </c>
      <c r="D163" s="41" t="inlineStr">
        <is>
          <t>Add Binary</t>
        </is>
      </c>
      <c r="E163" s="39" t="inlineStr">
        <is>
          <t>Easy</t>
        </is>
      </c>
      <c r="F163" s="42" t="n"/>
      <c r="G163" s="43" t="n"/>
      <c r="H163" s="44" t="n"/>
      <c r="I163" s="39">
        <f>IF(OR(K163&lt;&gt;"",J163&lt;&gt;""),"是",IF(OR(G163&lt;&gt;"",F163&lt;&gt;""),"否",""))</f>
        <v/>
      </c>
      <c r="J163" s="42" t="n"/>
      <c r="K163" s="43" t="n"/>
      <c r="L163" s="45" t="n"/>
    </row>
    <row r="164" ht="15" customHeight="1" s="36">
      <c r="A164" s="39" t="n">
        <v>9</v>
      </c>
      <c r="B164" s="40" t="inlineStr">
        <is>
          <t>Bit Manipulation 位运算</t>
        </is>
      </c>
      <c r="C164" s="39" t="n">
        <v>371</v>
      </c>
      <c r="D164" s="41" t="inlineStr">
        <is>
          <t>Sum of Two Integers</t>
        </is>
      </c>
      <c r="E164" s="39" t="inlineStr">
        <is>
          <t>Medium</t>
        </is>
      </c>
      <c r="F164" s="42" t="n"/>
      <c r="G164" s="43" t="n"/>
      <c r="H164" s="44" t="n"/>
      <c r="I164" s="39">
        <f>IF(OR(K164&lt;&gt;"",J164&lt;&gt;""),"是",IF(OR(G164&lt;&gt;"",F164&lt;&gt;""),"否",""))</f>
        <v/>
      </c>
      <c r="J164" s="42" t="n"/>
      <c r="K164" s="43" t="n"/>
      <c r="L164" s="45" t="n"/>
    </row>
    <row r="165" ht="15" customHeight="1" s="36">
      <c r="A165" s="39" t="n">
        <v>9</v>
      </c>
      <c r="B165" s="40" t="inlineStr">
        <is>
          <t>Bit Manipulation 位运算</t>
        </is>
      </c>
      <c r="C165" s="39" t="n">
        <v>7</v>
      </c>
      <c r="D165" s="41" t="inlineStr">
        <is>
          <t>Reverse Integer</t>
        </is>
      </c>
      <c r="E165" s="39" t="inlineStr">
        <is>
          <t>Medium</t>
        </is>
      </c>
      <c r="F165" s="42" t="n"/>
      <c r="G165" s="43" t="n"/>
      <c r="H165" s="44" t="n"/>
      <c r="I165" s="39">
        <f>IF(OR(K165&lt;&gt;"",J165&lt;&gt;""),"是",IF(OR(G165&lt;&gt;"",F165&lt;&gt;""),"否",""))</f>
        <v/>
      </c>
      <c r="J165" s="42" t="n"/>
      <c r="K165" s="43" t="n"/>
      <c r="L165" s="45" t="n"/>
    </row>
  </sheetData>
  <autoFilter ref="A1:L165"/>
  <conditionalFormatting sqref="H2:H165">
    <cfRule type="cellIs" rank="0" priority="2" equalAverage="0" operator="equal" aboveAverage="0" dxfId="5" text="" percent="0" bottom="0">
      <formula>"顺利"</formula>
    </cfRule>
    <cfRule type="cellIs" rank="0" priority="3" equalAverage="0" operator="equal" aboveAverage="0" dxfId="6" text="" percent="0" bottom="0">
      <formula>"有困难(黄)"</formula>
    </cfRule>
    <cfRule type="cellIs" rank="0" priority="4" equalAverage="0" operator="equal" aboveAverage="0" dxfId="7" text="" percent="0" bottom="0">
      <formula>"看了答案(红)"</formula>
    </cfRule>
  </conditionalFormatting>
  <conditionalFormatting sqref="C2:D165">
    <cfRule type="expression" rank="0" priority="5" equalAverage="0" aboveAverage="0" dxfId="8" text="" percent="0" bottom="0">
      <formula>$G2&lt;&gt;""</formula>
    </cfRule>
  </conditionalFormatting>
  <conditionalFormatting sqref="I2:I165">
    <cfRule type="cellIs" rank="0" priority="6" equalAverage="0" operator="equal" aboveAverage="0" dxfId="5" text="" percent="0" bottom="0">
      <formula>"是"</formula>
    </cfRule>
  </conditionalFormatting>
  <dataValidations count="3">
    <dataValidation sqref="H2:H165" showDropDown="0" showInputMessage="0" showErrorMessage="0" allowBlank="1" error="请从下拉列表选择" type="list" errorStyle="stop" operator="between">
      <formula1>"顺利,有困难(黄),看了答案(红)"</formula1>
      <formula2>0</formula2>
    </dataValidation>
    <dataValidation sqref="F2:F165 J2:J165" showDropDown="0" showInputMessage="0" showErrorMessage="0" allowBlank="1" error="请输入日期，如 2026-10-19" type="date" errorStyle="stop" operator="greaterThan">
      <formula1>36526</formula1>
      <formula2>0</formula2>
    </dataValidation>
    <dataValidation sqref="G2:G165 K2:K165" showDropDown="0" showInputMessage="0" showErrorMessage="0" allowBlank="1" error="请输入分钟数（数字）" type="decimal" errorStyle="stop" operator="greaterThanOrEqual">
      <formula1>0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H4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4" customWidth="1" style="35" min="1" max="1"/>
    <col width="10" customWidth="1" style="35" min="2" max="3"/>
    <col width="12" customWidth="1" style="35" min="4" max="4"/>
    <col width="10" customWidth="1" style="35" min="5" max="5"/>
    <col width="12" customWidth="1" style="35" min="6" max="6"/>
    <col width="18" customWidth="1" style="35" min="7" max="8"/>
  </cols>
  <sheetData>
    <row r="1" ht="21.6" customHeight="1" s="36">
      <c r="A1" s="46" t="inlineStr">
        <is>
          <t>NeetCode 150 刷题进度总览</t>
        </is>
      </c>
    </row>
    <row r="2" ht="15" customHeight="1" s="36">
      <c r="A2" s="47" t="inlineStr">
        <is>
          <t>所有数字由“刷题记录”自动计算，无需手动修改。</t>
        </is>
      </c>
    </row>
    <row r="3"/>
    <row r="4" ht="15" customHeight="1" s="36">
      <c r="A4" s="48" t="inlineStr">
        <is>
          <t>总题数</t>
        </is>
      </c>
      <c r="B4" s="49">
        <f>COUNTA(刷题记录!$C$2:$C$165)</f>
        <v/>
      </c>
    </row>
    <row r="5" ht="15" customHeight="1" s="36">
      <c r="A5" s="48" t="inlineStr">
        <is>
          <t>一刷完成题数</t>
        </is>
      </c>
      <c r="B5" s="49">
        <f>SUMPRODUCT(--(((刷题记录!$F$2:$F$165&lt;&gt;"")+(刷题记录!$G$2:$G$165&lt;&gt;""))&gt;0))</f>
        <v/>
      </c>
    </row>
    <row r="6" ht="15" customHeight="1" s="36">
      <c r="A6" s="48" t="inlineStr">
        <is>
          <t>一刷完成率</t>
        </is>
      </c>
      <c r="B6" s="50">
        <f>IFERROR(B5/B4,0)</f>
        <v/>
      </c>
    </row>
    <row r="7" ht="15" customHeight="1" s="36">
      <c r="A7" s="48" t="inlineStr">
        <is>
          <t>二刷完成题数</t>
        </is>
      </c>
      <c r="B7" s="49">
        <f>COUNT(刷题记录!$K$2:$K$165)</f>
        <v/>
      </c>
    </row>
    <row r="8" ht="15" customHeight="1" s="36">
      <c r="A8" s="48" t="inlineStr">
        <is>
          <t>二刷完成率</t>
        </is>
      </c>
      <c r="B8" s="50">
        <f>IFERROR(B7/B4,0)</f>
        <v/>
      </c>
    </row>
    <row r="9" ht="15" customHeight="1" s="36">
      <c r="A9" s="48" t="inlineStr">
        <is>
          <t>一刷累计用时（小时）</t>
        </is>
      </c>
      <c r="B9" s="51">
        <f>SUM(刷题记录!$G$2:$G$165)/60</f>
        <v/>
      </c>
    </row>
    <row r="10" ht="15" customHeight="1" s="36">
      <c r="A10" s="48" t="inlineStr">
        <is>
          <t>二刷累计用时（小时）</t>
        </is>
      </c>
      <c r="B10" s="51">
        <f>SUM(刷题记录!$K$2:$K$165)/60</f>
        <v/>
      </c>
    </row>
    <row r="11" ht="15" customHeight="1" s="36">
      <c r="A11" s="48" t="inlineStr">
        <is>
          <t>一刷平均用时（分钟/题）</t>
        </is>
      </c>
      <c r="B11" s="51">
        <f>IFERROR(AVERAGE(刷题记录!$G$2:$G$165),"")</f>
        <v/>
      </c>
    </row>
    <row r="12" ht="15" customHeight="1" s="36">
      <c r="A12" s="48" t="inlineStr">
        <is>
          <t>二刷平均用时（分钟/题）</t>
        </is>
      </c>
      <c r="B12" s="51">
        <f>IFERROR(AVERAGE(刷题记录!$K$2:$K$165),"")</f>
        <v/>
      </c>
    </row>
    <row r="13" ht="15" customHeight="1" s="36">
      <c r="A13" s="48" t="inlineStr">
        <is>
          <t>黄标题数（有困难，待复盘）</t>
        </is>
      </c>
      <c r="B13" s="49">
        <f>COUNTIF(刷题记录!$H$2:$H$165,"有困难(黄)")</f>
        <v/>
      </c>
    </row>
    <row r="14" ht="15" customHeight="1" s="36">
      <c r="A14" s="48" t="inlineStr">
        <is>
          <t>红标题数（看了答案，待复盘）</t>
        </is>
      </c>
      <c r="B14" s="49">
        <f>COUNTIF(刷题记录!$H$2:$H$165,"看了答案(红)")</f>
        <v/>
      </c>
    </row>
    <row r="15"/>
    <row r="16" ht="15" customHeight="1" s="36">
      <c r="A16" s="52" t="inlineStr">
        <is>
          <t>按模块</t>
        </is>
      </c>
    </row>
    <row r="17" ht="30" customHeight="1" s="36">
      <c r="A17" s="37" t="inlineStr">
        <is>
          <t>模块</t>
        </is>
      </c>
      <c r="B17" s="37" t="inlineStr">
        <is>
          <t>总题数</t>
        </is>
      </c>
      <c r="C17" s="37" t="inlineStr">
        <is>
          <t>一刷完成</t>
        </is>
      </c>
      <c r="D17" s="37" t="inlineStr">
        <is>
          <t>一刷完成率</t>
        </is>
      </c>
      <c r="E17" s="37" t="inlineStr">
        <is>
          <t>二刷完成</t>
        </is>
      </c>
      <c r="F17" s="37" t="inlineStr">
        <is>
          <t>二刷完成率</t>
        </is>
      </c>
      <c r="G17" s="37" t="inlineStr">
        <is>
          <t>一刷平均用时(分钟)</t>
        </is>
      </c>
      <c r="H17" s="37" t="inlineStr">
        <is>
          <t>二刷平均用时(分钟)</t>
        </is>
      </c>
    </row>
    <row r="18" ht="15" customHeight="1" s="36">
      <c r="A18" s="53" t="inlineStr">
        <is>
          <t>Array &amp; Hashing 数组与哈希</t>
        </is>
      </c>
      <c r="B18" s="54">
        <f>COUNTIF(刷题记录!$B$2:$B$165,A18)</f>
        <v/>
      </c>
      <c r="C18" s="54">
        <f>SUMPRODUCT((刷题记录!$B$2:$B$165=A18)*(((刷题记录!$F$2:$F$165&lt;&gt;"")+(刷题记录!$G$2:$G$165&lt;&gt;""))&gt;0))</f>
        <v/>
      </c>
      <c r="D18" s="55">
        <f>IFERROR(C18/B18,0)</f>
        <v/>
      </c>
      <c r="E18" s="54">
        <f>COUNTIFS(刷题记录!$B$2:$B$165,A18,刷题记录!$K$2:$K$165,"&gt;0")</f>
        <v/>
      </c>
      <c r="F18" s="55">
        <f>IFERROR(E18/B18,0)</f>
        <v/>
      </c>
      <c r="G18" s="51">
        <f>IFERROR(AVERAGEIFS(刷题记录!$G$2:$G$165,刷题记录!$B$2:$B$165,A18,刷题记录!$G$2:$G$165,"&gt;0"),"")</f>
        <v/>
      </c>
      <c r="H18" s="51">
        <f>IFERROR(AVERAGEIFS(刷题记录!$K$2:$K$165,刷题记录!$B$2:$B$165,A18,刷题记录!$K$2:$K$165,"&gt;0"),"")</f>
        <v/>
      </c>
    </row>
    <row r="19" ht="15" customHeight="1" s="36">
      <c r="A19" s="53" t="inlineStr">
        <is>
          <t>Two Pointers 双指针</t>
        </is>
      </c>
      <c r="B19" s="54">
        <f>COUNTIF(刷题记录!$B$2:$B$165,A19)</f>
        <v/>
      </c>
      <c r="C19" s="54">
        <f>SUMPRODUCT((刷题记录!$B$2:$B$165=A19)*(((刷题记录!$F$2:$F$165&lt;&gt;"")+(刷题记录!$G$2:$G$165&lt;&gt;""))&gt;0))</f>
        <v/>
      </c>
      <c r="D19" s="55">
        <f>IFERROR(C19/B19,0)</f>
        <v/>
      </c>
      <c r="E19" s="54">
        <f>COUNTIFS(刷题记录!$B$2:$B$165,A19,刷题记录!$K$2:$K$165,"&gt;0")</f>
        <v/>
      </c>
      <c r="F19" s="55">
        <f>IFERROR(E19/B19,0)</f>
        <v/>
      </c>
      <c r="G19" s="51">
        <f>IFERROR(AVERAGEIFS(刷题记录!$G$2:$G$165,刷题记录!$B$2:$B$165,A19,刷题记录!$G$2:$G$165,"&gt;0"),"")</f>
        <v/>
      </c>
      <c r="H19" s="51">
        <f>IFERROR(AVERAGEIFS(刷题记录!$K$2:$K$165,刷题记录!$B$2:$B$165,A19,刷题记录!$K$2:$K$165,"&gt;0"),"")</f>
        <v/>
      </c>
    </row>
    <row r="20" ht="15" customHeight="1" s="36">
      <c r="A20" s="53" t="inlineStr">
        <is>
          <t>Sliding Window 滑动窗口</t>
        </is>
      </c>
      <c r="B20" s="54">
        <f>COUNTIF(刷题记录!$B$2:$B$165,A20)</f>
        <v/>
      </c>
      <c r="C20" s="54">
        <f>SUMPRODUCT((刷题记录!$B$2:$B$165=A20)*(((刷题记录!$F$2:$F$165&lt;&gt;"")+(刷题记录!$G$2:$G$165&lt;&gt;""))&gt;0))</f>
        <v/>
      </c>
      <c r="D20" s="55">
        <f>IFERROR(C20/B20,0)</f>
        <v/>
      </c>
      <c r="E20" s="54">
        <f>COUNTIFS(刷题记录!$B$2:$B$165,A20,刷题记录!$K$2:$K$165,"&gt;0")</f>
        <v/>
      </c>
      <c r="F20" s="55">
        <f>IFERROR(E20/B20,0)</f>
        <v/>
      </c>
      <c r="G20" s="51">
        <f>IFERROR(AVERAGEIFS(刷题记录!$G$2:$G$165,刷题记录!$B$2:$B$165,A20,刷题记录!$G$2:$G$165,"&gt;0"),"")</f>
        <v/>
      </c>
      <c r="H20" s="51">
        <f>IFERROR(AVERAGEIFS(刷题记录!$K$2:$K$165,刷题记录!$B$2:$B$165,A20,刷题记录!$K$2:$K$165,"&gt;0"),"")</f>
        <v/>
      </c>
    </row>
    <row r="21" ht="15" customHeight="1" s="36">
      <c r="A21" s="53" t="inlineStr">
        <is>
          <t>Stack 栈</t>
        </is>
      </c>
      <c r="B21" s="54">
        <f>COUNTIF(刷题记录!$B$2:$B$165,A21)</f>
        <v/>
      </c>
      <c r="C21" s="54">
        <f>SUMPRODUCT((刷题记录!$B$2:$B$165=A21)*(((刷题记录!$F$2:$F$165&lt;&gt;"")+(刷题记录!$G$2:$G$165&lt;&gt;""))&gt;0))</f>
        <v/>
      </c>
      <c r="D21" s="55">
        <f>IFERROR(C21/B21,0)</f>
        <v/>
      </c>
      <c r="E21" s="54">
        <f>COUNTIFS(刷题记录!$B$2:$B$165,A21,刷题记录!$K$2:$K$165,"&gt;0")</f>
        <v/>
      </c>
      <c r="F21" s="55">
        <f>IFERROR(E21/B21,0)</f>
        <v/>
      </c>
      <c r="G21" s="51">
        <f>IFERROR(AVERAGEIFS(刷题记录!$G$2:$G$165,刷题记录!$B$2:$B$165,A21,刷题记录!$G$2:$G$165,"&gt;0"),"")</f>
        <v/>
      </c>
      <c r="H21" s="51">
        <f>IFERROR(AVERAGEIFS(刷题记录!$K$2:$K$165,刷题记录!$B$2:$B$165,A21,刷题记录!$K$2:$K$165,"&gt;0"),"")</f>
        <v/>
      </c>
    </row>
    <row r="22" ht="15" customHeight="1" s="36">
      <c r="A22" s="53" t="inlineStr">
        <is>
          <t>Binary Search 二分查找</t>
        </is>
      </c>
      <c r="B22" s="54">
        <f>COUNTIF(刷题记录!$B$2:$B$165,A22)</f>
        <v/>
      </c>
      <c r="C22" s="54">
        <f>SUMPRODUCT((刷题记录!$B$2:$B$165=A22)*(((刷题记录!$F$2:$F$165&lt;&gt;"")+(刷题记录!$G$2:$G$165&lt;&gt;""))&gt;0))</f>
        <v/>
      </c>
      <c r="D22" s="55">
        <f>IFERROR(C22/B22,0)</f>
        <v/>
      </c>
      <c r="E22" s="54">
        <f>COUNTIFS(刷题记录!$B$2:$B$165,A22,刷题记录!$K$2:$K$165,"&gt;0")</f>
        <v/>
      </c>
      <c r="F22" s="55">
        <f>IFERROR(E22/B22,0)</f>
        <v/>
      </c>
      <c r="G22" s="51">
        <f>IFERROR(AVERAGEIFS(刷题记录!$G$2:$G$165,刷题记录!$B$2:$B$165,A22,刷题记录!$G$2:$G$165,"&gt;0"),"")</f>
        <v/>
      </c>
      <c r="H22" s="51">
        <f>IFERROR(AVERAGEIFS(刷题记录!$K$2:$K$165,刷题记录!$B$2:$B$165,A22,刷题记录!$K$2:$K$165,"&gt;0"),"")</f>
        <v/>
      </c>
    </row>
    <row r="23" ht="15" customHeight="1" s="36">
      <c r="A23" s="53" t="inlineStr">
        <is>
          <t>Linked List 链表</t>
        </is>
      </c>
      <c r="B23" s="54">
        <f>COUNTIF(刷题记录!$B$2:$B$165,A23)</f>
        <v/>
      </c>
      <c r="C23" s="54">
        <f>SUMPRODUCT((刷题记录!$B$2:$B$165=A23)*(((刷题记录!$F$2:$F$165&lt;&gt;"")+(刷题记录!$G$2:$G$165&lt;&gt;""))&gt;0))</f>
        <v/>
      </c>
      <c r="D23" s="55">
        <f>IFERROR(C23/B23,0)</f>
        <v/>
      </c>
      <c r="E23" s="54">
        <f>COUNTIFS(刷题记录!$B$2:$B$165,A23,刷题记录!$K$2:$K$165,"&gt;0")</f>
        <v/>
      </c>
      <c r="F23" s="55">
        <f>IFERROR(E23/B23,0)</f>
        <v/>
      </c>
      <c r="G23" s="51">
        <f>IFERROR(AVERAGEIFS(刷题记录!$G$2:$G$165,刷题记录!$B$2:$B$165,A23,刷题记录!$G$2:$G$165,"&gt;0"),"")</f>
        <v/>
      </c>
      <c r="H23" s="51">
        <f>IFERROR(AVERAGEIFS(刷题记录!$K$2:$K$165,刷题记录!$B$2:$B$165,A23,刷题记录!$K$2:$K$165,"&gt;0"),"")</f>
        <v/>
      </c>
    </row>
    <row r="24" ht="15" customHeight="1" s="36">
      <c r="A24" s="53" t="inlineStr">
        <is>
          <t>Trees 二叉树</t>
        </is>
      </c>
      <c r="B24" s="54">
        <f>COUNTIF(刷题记录!$B$2:$B$165,A24)</f>
        <v/>
      </c>
      <c r="C24" s="54">
        <f>SUMPRODUCT((刷题记录!$B$2:$B$165=A24)*(((刷题记录!$F$2:$F$165&lt;&gt;"")+(刷题记录!$G$2:$G$165&lt;&gt;""))&gt;0))</f>
        <v/>
      </c>
      <c r="D24" s="55">
        <f>IFERROR(C24/B24,0)</f>
        <v/>
      </c>
      <c r="E24" s="54">
        <f>COUNTIFS(刷题记录!$B$2:$B$165,A24,刷题记录!$K$2:$K$165,"&gt;0")</f>
        <v/>
      </c>
      <c r="F24" s="55">
        <f>IFERROR(E24/B24,0)</f>
        <v/>
      </c>
      <c r="G24" s="51">
        <f>IFERROR(AVERAGEIFS(刷题记录!$G$2:$G$165,刷题记录!$B$2:$B$165,A24,刷题记录!$G$2:$G$165,"&gt;0"),"")</f>
        <v/>
      </c>
      <c r="H24" s="51">
        <f>IFERROR(AVERAGEIFS(刷题记录!$K$2:$K$165,刷题记录!$B$2:$B$165,A24,刷题记录!$K$2:$K$165,"&gt;0"),"")</f>
        <v/>
      </c>
    </row>
    <row r="25" ht="15" customHeight="1" s="36">
      <c r="A25" s="53" t="inlineStr">
        <is>
          <t>Tries 字典树</t>
        </is>
      </c>
      <c r="B25" s="54">
        <f>COUNTIF(刷题记录!$B$2:$B$165,A25)</f>
        <v/>
      </c>
      <c r="C25" s="54">
        <f>SUMPRODUCT((刷题记录!$B$2:$B$165=A25)*(((刷题记录!$F$2:$F$165&lt;&gt;"")+(刷题记录!$G$2:$G$165&lt;&gt;""))&gt;0))</f>
        <v/>
      </c>
      <c r="D25" s="55">
        <f>IFERROR(C25/B25,0)</f>
        <v/>
      </c>
      <c r="E25" s="54">
        <f>COUNTIFS(刷题记录!$B$2:$B$165,A25,刷题记录!$K$2:$K$165,"&gt;0")</f>
        <v/>
      </c>
      <c r="F25" s="55">
        <f>IFERROR(E25/B25,0)</f>
        <v/>
      </c>
      <c r="G25" s="51">
        <f>IFERROR(AVERAGEIFS(刷题记录!$G$2:$G$165,刷题记录!$B$2:$B$165,A25,刷题记录!$G$2:$G$165,"&gt;0"),"")</f>
        <v/>
      </c>
      <c r="H25" s="51">
        <f>IFERROR(AVERAGEIFS(刷题记录!$K$2:$K$165,刷题记录!$B$2:$B$165,A25,刷题记录!$K$2:$K$165,"&gt;0"),"")</f>
        <v/>
      </c>
    </row>
    <row r="26" ht="15" customHeight="1" s="36">
      <c r="A26" s="53" t="inlineStr">
        <is>
          <t>Heap / Priority Queue 堆</t>
        </is>
      </c>
      <c r="B26" s="54">
        <f>COUNTIF(刷题记录!$B$2:$B$165,A26)</f>
        <v/>
      </c>
      <c r="C26" s="54">
        <f>SUMPRODUCT((刷题记录!$B$2:$B$165=A26)*(((刷题记录!$F$2:$F$165&lt;&gt;"")+(刷题记录!$G$2:$G$165&lt;&gt;""))&gt;0))</f>
        <v/>
      </c>
      <c r="D26" s="55">
        <f>IFERROR(C26/B26,0)</f>
        <v/>
      </c>
      <c r="E26" s="54">
        <f>COUNTIFS(刷题记录!$B$2:$B$165,A26,刷题记录!$K$2:$K$165,"&gt;0")</f>
        <v/>
      </c>
      <c r="F26" s="55">
        <f>IFERROR(E26/B26,0)</f>
        <v/>
      </c>
      <c r="G26" s="51">
        <f>IFERROR(AVERAGEIFS(刷题记录!$G$2:$G$165,刷题记录!$B$2:$B$165,A26,刷题记录!$G$2:$G$165,"&gt;0"),"")</f>
        <v/>
      </c>
      <c r="H26" s="51">
        <f>IFERROR(AVERAGEIFS(刷题记录!$K$2:$K$165,刷题记录!$B$2:$B$165,A26,刷题记录!$K$2:$K$165,"&gt;0"),"")</f>
        <v/>
      </c>
    </row>
    <row r="27" ht="15" customHeight="1" s="36">
      <c r="A27" s="53" t="inlineStr">
        <is>
          <t>Backtracking 回溯</t>
        </is>
      </c>
      <c r="B27" s="54">
        <f>COUNTIF(刷题记录!$B$2:$B$165,A27)</f>
        <v/>
      </c>
      <c r="C27" s="54">
        <f>SUMPRODUCT((刷题记录!$B$2:$B$165=A27)*(((刷题记录!$F$2:$F$165&lt;&gt;"")+(刷题记录!$G$2:$G$165&lt;&gt;""))&gt;0))</f>
        <v/>
      </c>
      <c r="D27" s="55">
        <f>IFERROR(C27/B27,0)</f>
        <v/>
      </c>
      <c r="E27" s="54">
        <f>COUNTIFS(刷题记录!$B$2:$B$165,A27,刷题记录!$K$2:$K$165,"&gt;0")</f>
        <v/>
      </c>
      <c r="F27" s="55">
        <f>IFERROR(E27/B27,0)</f>
        <v/>
      </c>
      <c r="G27" s="51">
        <f>IFERROR(AVERAGEIFS(刷题记录!$G$2:$G$165,刷题记录!$B$2:$B$165,A27,刷题记录!$G$2:$G$165,"&gt;0"),"")</f>
        <v/>
      </c>
      <c r="H27" s="51">
        <f>IFERROR(AVERAGEIFS(刷题记录!$K$2:$K$165,刷题记录!$B$2:$B$165,A27,刷题记录!$K$2:$K$165,"&gt;0"),"")</f>
        <v/>
      </c>
    </row>
    <row r="28" ht="15" customHeight="1" s="36">
      <c r="A28" s="53" t="inlineStr">
        <is>
          <t>Graphs 图论</t>
        </is>
      </c>
      <c r="B28" s="54">
        <f>COUNTIF(刷题记录!$B$2:$B$165,A28)</f>
        <v/>
      </c>
      <c r="C28" s="54">
        <f>SUMPRODUCT((刷题记录!$B$2:$B$165=A28)*(((刷题记录!$F$2:$F$165&lt;&gt;"")+(刷题记录!$G$2:$G$165&lt;&gt;""))&gt;0))</f>
        <v/>
      </c>
      <c r="D28" s="55">
        <f>IFERROR(C28/B28,0)</f>
        <v/>
      </c>
      <c r="E28" s="54">
        <f>COUNTIFS(刷题记录!$B$2:$B$165,A28,刷题记录!$K$2:$K$165,"&gt;0")</f>
        <v/>
      </c>
      <c r="F28" s="55">
        <f>IFERROR(E28/B28,0)</f>
        <v/>
      </c>
      <c r="G28" s="51">
        <f>IFERROR(AVERAGEIFS(刷题记录!$G$2:$G$165,刷题记录!$B$2:$B$165,A28,刷题记录!$G$2:$G$165,"&gt;0"),"")</f>
        <v/>
      </c>
      <c r="H28" s="51">
        <f>IFERROR(AVERAGEIFS(刷题记录!$K$2:$K$165,刷题记录!$B$2:$B$165,A28,刷题记录!$K$2:$K$165,"&gt;0"),"")</f>
        <v/>
      </c>
    </row>
    <row r="29" ht="15" customHeight="1" s="36">
      <c r="A29" s="53" t="inlineStr">
        <is>
          <t>Advanced Graphs 高级图论</t>
        </is>
      </c>
      <c r="B29" s="54">
        <f>COUNTIF(刷题记录!$B$2:$B$165,A29)</f>
        <v/>
      </c>
      <c r="C29" s="54">
        <f>SUMPRODUCT((刷题记录!$B$2:$B$165=A29)*(((刷题记录!$F$2:$F$165&lt;&gt;"")+(刷题记录!$G$2:$G$165&lt;&gt;""))&gt;0))</f>
        <v/>
      </c>
      <c r="D29" s="55">
        <f>IFERROR(C29/B29,0)</f>
        <v/>
      </c>
      <c r="E29" s="54">
        <f>COUNTIFS(刷题记录!$B$2:$B$165,A29,刷题记录!$K$2:$K$165,"&gt;0")</f>
        <v/>
      </c>
      <c r="F29" s="55">
        <f>IFERROR(E29/B29,0)</f>
        <v/>
      </c>
      <c r="G29" s="51">
        <f>IFERROR(AVERAGEIFS(刷题记录!$G$2:$G$165,刷题记录!$B$2:$B$165,A29,刷题记录!$G$2:$G$165,"&gt;0"),"")</f>
        <v/>
      </c>
      <c r="H29" s="51">
        <f>IFERROR(AVERAGEIFS(刷题记录!$K$2:$K$165,刷题记录!$B$2:$B$165,A29,刷题记录!$K$2:$K$165,"&gt;0"),"")</f>
        <v/>
      </c>
    </row>
    <row r="30" ht="15" customHeight="1" s="36">
      <c r="A30" s="53" t="inlineStr">
        <is>
          <t>1-D DP 一维动态规划</t>
        </is>
      </c>
      <c r="B30" s="54">
        <f>COUNTIF(刷题记录!$B$2:$B$165,A30)</f>
        <v/>
      </c>
      <c r="C30" s="54">
        <f>SUMPRODUCT((刷题记录!$B$2:$B$165=A30)*(((刷题记录!$F$2:$F$165&lt;&gt;"")+(刷题记录!$G$2:$G$165&lt;&gt;""))&gt;0))</f>
        <v/>
      </c>
      <c r="D30" s="55">
        <f>IFERROR(C30/B30,0)</f>
        <v/>
      </c>
      <c r="E30" s="54">
        <f>COUNTIFS(刷题记录!$B$2:$B$165,A30,刷题记录!$K$2:$K$165,"&gt;0")</f>
        <v/>
      </c>
      <c r="F30" s="55">
        <f>IFERROR(E30/B30,0)</f>
        <v/>
      </c>
      <c r="G30" s="51">
        <f>IFERROR(AVERAGEIFS(刷题记录!$G$2:$G$165,刷题记录!$B$2:$B$165,A30,刷题记录!$G$2:$G$165,"&gt;0"),"")</f>
        <v/>
      </c>
      <c r="H30" s="51">
        <f>IFERROR(AVERAGEIFS(刷题记录!$K$2:$K$165,刷题记录!$B$2:$B$165,A30,刷题记录!$K$2:$K$165,"&gt;0"),"")</f>
        <v/>
      </c>
    </row>
    <row r="31" ht="15" customHeight="1" s="36">
      <c r="A31" s="53" t="inlineStr">
        <is>
          <t>2-D DP 二维动态规划</t>
        </is>
      </c>
      <c r="B31" s="54">
        <f>COUNTIF(刷题记录!$B$2:$B$165,A31)</f>
        <v/>
      </c>
      <c r="C31" s="54">
        <f>SUMPRODUCT((刷题记录!$B$2:$B$165=A31)*(((刷题记录!$F$2:$F$165&lt;&gt;"")+(刷题记录!$G$2:$G$165&lt;&gt;""))&gt;0))</f>
        <v/>
      </c>
      <c r="D31" s="55">
        <f>IFERROR(C31/B31,0)</f>
        <v/>
      </c>
      <c r="E31" s="54">
        <f>COUNTIFS(刷题记录!$B$2:$B$165,A31,刷题记录!$K$2:$K$165,"&gt;0")</f>
        <v/>
      </c>
      <c r="F31" s="55">
        <f>IFERROR(E31/B31,0)</f>
        <v/>
      </c>
      <c r="G31" s="51">
        <f>IFERROR(AVERAGEIFS(刷题记录!$G$2:$G$165,刷题记录!$B$2:$B$165,A31,刷题记录!$G$2:$G$165,"&gt;0"),"")</f>
        <v/>
      </c>
      <c r="H31" s="51">
        <f>IFERROR(AVERAGEIFS(刷题记录!$K$2:$K$165,刷题记录!$B$2:$B$165,A31,刷题记录!$K$2:$K$165,"&gt;0"),"")</f>
        <v/>
      </c>
    </row>
    <row r="32" ht="15" customHeight="1" s="36">
      <c r="A32" s="53" t="inlineStr">
        <is>
          <t>Greedy 贪心</t>
        </is>
      </c>
      <c r="B32" s="54">
        <f>COUNTIF(刷题记录!$B$2:$B$165,A32)</f>
        <v/>
      </c>
      <c r="C32" s="54">
        <f>SUMPRODUCT((刷题记录!$B$2:$B$165=A32)*(((刷题记录!$F$2:$F$165&lt;&gt;"")+(刷题记录!$G$2:$G$165&lt;&gt;""))&gt;0))</f>
        <v/>
      </c>
      <c r="D32" s="55">
        <f>IFERROR(C32/B32,0)</f>
        <v/>
      </c>
      <c r="E32" s="54">
        <f>COUNTIFS(刷题记录!$B$2:$B$165,A32,刷题记录!$K$2:$K$165,"&gt;0")</f>
        <v/>
      </c>
      <c r="F32" s="55">
        <f>IFERROR(E32/B32,0)</f>
        <v/>
      </c>
      <c r="G32" s="51">
        <f>IFERROR(AVERAGEIFS(刷题记录!$G$2:$G$165,刷题记录!$B$2:$B$165,A32,刷题记录!$G$2:$G$165,"&gt;0"),"")</f>
        <v/>
      </c>
      <c r="H32" s="51">
        <f>IFERROR(AVERAGEIFS(刷题记录!$K$2:$K$165,刷题记录!$B$2:$B$165,A32,刷题记录!$K$2:$K$165,"&gt;0"),"")</f>
        <v/>
      </c>
    </row>
    <row r="33" ht="15" customHeight="1" s="36">
      <c r="A33" s="53" t="inlineStr">
        <is>
          <t>Intervals 区间</t>
        </is>
      </c>
      <c r="B33" s="54">
        <f>COUNTIF(刷题记录!$B$2:$B$165,A33)</f>
        <v/>
      </c>
      <c r="C33" s="54">
        <f>SUMPRODUCT((刷题记录!$B$2:$B$165=A33)*(((刷题记录!$F$2:$F$165&lt;&gt;"")+(刷题记录!$G$2:$G$165&lt;&gt;""))&gt;0))</f>
        <v/>
      </c>
      <c r="D33" s="55">
        <f>IFERROR(C33/B33,0)</f>
        <v/>
      </c>
      <c r="E33" s="54">
        <f>COUNTIFS(刷题记录!$B$2:$B$165,A33,刷题记录!$K$2:$K$165,"&gt;0")</f>
        <v/>
      </c>
      <c r="F33" s="55">
        <f>IFERROR(E33/B33,0)</f>
        <v/>
      </c>
      <c r="G33" s="51">
        <f>IFERROR(AVERAGEIFS(刷题记录!$G$2:$G$165,刷题记录!$B$2:$B$165,A33,刷题记录!$G$2:$G$165,"&gt;0"),"")</f>
        <v/>
      </c>
      <c r="H33" s="51">
        <f>IFERROR(AVERAGEIFS(刷题记录!$K$2:$K$165,刷题记录!$B$2:$B$165,A33,刷题记录!$K$2:$K$165,"&gt;0"),"")</f>
        <v/>
      </c>
    </row>
    <row r="34" ht="15" customHeight="1" s="36">
      <c r="A34" s="53" t="inlineStr">
        <is>
          <t>Math &amp; Geometry 数学与几何</t>
        </is>
      </c>
      <c r="B34" s="54">
        <f>COUNTIF(刷题记录!$B$2:$B$165,A34)</f>
        <v/>
      </c>
      <c r="C34" s="54">
        <f>SUMPRODUCT((刷题记录!$B$2:$B$165=A34)*(((刷题记录!$F$2:$F$165&lt;&gt;"")+(刷题记录!$G$2:$G$165&lt;&gt;""))&gt;0))</f>
        <v/>
      </c>
      <c r="D34" s="55">
        <f>IFERROR(C34/B34,0)</f>
        <v/>
      </c>
      <c r="E34" s="54">
        <f>COUNTIFS(刷题记录!$B$2:$B$165,A34,刷题记录!$K$2:$K$165,"&gt;0")</f>
        <v/>
      </c>
      <c r="F34" s="55">
        <f>IFERROR(E34/B34,0)</f>
        <v/>
      </c>
      <c r="G34" s="51">
        <f>IFERROR(AVERAGEIFS(刷题记录!$G$2:$G$165,刷题记录!$B$2:$B$165,A34,刷题记录!$G$2:$G$165,"&gt;0"),"")</f>
        <v/>
      </c>
      <c r="H34" s="51">
        <f>IFERROR(AVERAGEIFS(刷题记录!$K$2:$K$165,刷题记录!$B$2:$B$165,A34,刷题记录!$K$2:$K$165,"&gt;0"),"")</f>
        <v/>
      </c>
    </row>
    <row r="35" ht="15" customHeight="1" s="36">
      <c r="A35" s="53" t="inlineStr">
        <is>
          <t>Bit Manipulation 位运算</t>
        </is>
      </c>
      <c r="B35" s="54">
        <f>COUNTIF(刷题记录!$B$2:$B$165,A35)</f>
        <v/>
      </c>
      <c r="C35" s="54">
        <f>SUMPRODUCT((刷题记录!$B$2:$B$165=A35)*(((刷题记录!$F$2:$F$165&lt;&gt;"")+(刷题记录!$G$2:$G$165&lt;&gt;""))&gt;0))</f>
        <v/>
      </c>
      <c r="D35" s="55">
        <f>IFERROR(C35/B35,0)</f>
        <v/>
      </c>
      <c r="E35" s="54">
        <f>COUNTIFS(刷题记录!$B$2:$B$165,A35,刷题记录!$K$2:$K$165,"&gt;0")</f>
        <v/>
      </c>
      <c r="F35" s="55">
        <f>IFERROR(E35/B35,0)</f>
        <v/>
      </c>
      <c r="G35" s="51">
        <f>IFERROR(AVERAGEIFS(刷题记录!$G$2:$G$165,刷题记录!$B$2:$B$165,A35,刷题记录!$G$2:$G$165,"&gt;0"),"")</f>
        <v/>
      </c>
      <c r="H35" s="51">
        <f>IFERROR(AVERAGEIFS(刷题记录!$K$2:$K$165,刷题记录!$B$2:$B$165,A35,刷题记录!$K$2:$K$165,"&gt;0"),"")</f>
        <v/>
      </c>
    </row>
    <row r="36"/>
    <row r="37" ht="15" customHeight="1" s="36">
      <c r="A37" s="52" t="inlineStr">
        <is>
          <t>按难度</t>
        </is>
      </c>
    </row>
    <row r="38" ht="30" customHeight="1" s="36">
      <c r="A38" s="37" t="inlineStr">
        <is>
          <t>难度</t>
        </is>
      </c>
      <c r="B38" s="37" t="inlineStr">
        <is>
          <t>总题数</t>
        </is>
      </c>
      <c r="C38" s="37" t="inlineStr">
        <is>
          <t>一刷完成</t>
        </is>
      </c>
      <c r="D38" s="37" t="inlineStr">
        <is>
          <t>一刷完成率</t>
        </is>
      </c>
      <c r="E38" s="37" t="inlineStr">
        <is>
          <t>二刷完成</t>
        </is>
      </c>
      <c r="F38" s="37" t="inlineStr">
        <is>
          <t>二刷完成率</t>
        </is>
      </c>
      <c r="G38" s="37" t="inlineStr">
        <is>
          <t>一刷平均用时(分钟)</t>
        </is>
      </c>
      <c r="H38" s="37" t="inlineStr">
        <is>
          <t>二刷平均用时(分钟)</t>
        </is>
      </c>
    </row>
    <row r="39" ht="15" customHeight="1" s="36">
      <c r="A39" s="53" t="inlineStr">
        <is>
          <t>Easy</t>
        </is>
      </c>
      <c r="B39" s="54">
        <f>COUNTIF(刷题记录!$E$2:$E$165,A39)</f>
        <v/>
      </c>
      <c r="C39" s="54">
        <f>SUMPRODUCT((刷题记录!$E$2:$E$165=A39)*(((刷题记录!$F$2:$F$165&lt;&gt;"")+(刷题记录!$G$2:$G$165&lt;&gt;""))&gt;0))</f>
        <v/>
      </c>
      <c r="D39" s="55">
        <f>IFERROR(C39/B39,0)</f>
        <v/>
      </c>
      <c r="E39" s="54">
        <f>COUNTIFS(刷题记录!$E$2:$E$165,A39,刷题记录!$K$2:$K$165,"&gt;0")</f>
        <v/>
      </c>
      <c r="F39" s="55">
        <f>IFERROR(E39/B39,0)</f>
        <v/>
      </c>
      <c r="G39" s="51">
        <f>IFERROR(AVERAGEIFS(刷题记录!$G$2:$G$165,刷题记录!$E$2:$E$165,A39,刷题记录!$G$2:$G$165,"&gt;0"),"")</f>
        <v/>
      </c>
      <c r="H39" s="51">
        <f>IFERROR(AVERAGEIFS(刷题记录!$K$2:$K$165,刷题记录!$E$2:$E$165,A39,刷题记录!$K$2:$K$165,"&gt;0"),"")</f>
        <v/>
      </c>
    </row>
    <row r="40" ht="15" customHeight="1" s="36">
      <c r="A40" s="53" t="inlineStr">
        <is>
          <t>Medium</t>
        </is>
      </c>
      <c r="B40" s="54">
        <f>COUNTIF(刷题记录!$E$2:$E$165,A40)</f>
        <v/>
      </c>
      <c r="C40" s="54">
        <f>SUMPRODUCT((刷题记录!$E$2:$E$165=A40)*(((刷题记录!$F$2:$F$165&lt;&gt;"")+(刷题记录!$G$2:$G$165&lt;&gt;""))&gt;0))</f>
        <v/>
      </c>
      <c r="D40" s="55">
        <f>IFERROR(C40/B40,0)</f>
        <v/>
      </c>
      <c r="E40" s="54">
        <f>COUNTIFS(刷题记录!$E$2:$E$165,A40,刷题记录!$K$2:$K$165,"&gt;0")</f>
        <v/>
      </c>
      <c r="F40" s="55">
        <f>IFERROR(E40/B40,0)</f>
        <v/>
      </c>
      <c r="G40" s="51">
        <f>IFERROR(AVERAGEIFS(刷题记录!$G$2:$G$165,刷题记录!$E$2:$E$165,A40,刷题记录!$G$2:$G$165,"&gt;0"),"")</f>
        <v/>
      </c>
      <c r="H40" s="51">
        <f>IFERROR(AVERAGEIFS(刷题记录!$K$2:$K$165,刷题记录!$E$2:$E$165,A40,刷题记录!$K$2:$K$165,"&gt;0"),"")</f>
        <v/>
      </c>
    </row>
    <row r="41" ht="15" customHeight="1" s="36">
      <c r="A41" s="53" t="inlineStr">
        <is>
          <t>Hard</t>
        </is>
      </c>
      <c r="B41" s="54">
        <f>COUNTIF(刷题记录!$E$2:$E$165,A41)</f>
        <v/>
      </c>
      <c r="C41" s="54">
        <f>SUMPRODUCT((刷题记录!$E$2:$E$165=A41)*(((刷题记录!$F$2:$F$165&lt;&gt;"")+(刷题记录!$G$2:$G$165&lt;&gt;""))&gt;0))</f>
        <v/>
      </c>
      <c r="D41" s="55">
        <f>IFERROR(C41/B41,0)</f>
        <v/>
      </c>
      <c r="E41" s="54">
        <f>COUNTIFS(刷题记录!$E$2:$E$165,A41,刷题记录!$K$2:$K$165,"&gt;0")</f>
        <v/>
      </c>
      <c r="F41" s="55">
        <f>IFERROR(E41/B41,0)</f>
        <v/>
      </c>
      <c r="G41" s="51">
        <f>IFERROR(AVERAGEIFS(刷题记录!$G$2:$G$165,刷题记录!$E$2:$E$165,A41,刷题记录!$G$2:$G$165,"&gt;0"),"")</f>
        <v/>
      </c>
      <c r="H41" s="51">
        <f>IFERROR(AVERAGEIFS(刷题记录!$K$2:$K$165,刷题记录!$E$2:$E$165,A41,刷题记录!$K$2:$K$165,"&gt;0"),"")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I1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7" customWidth="1" style="35" min="1" max="1"/>
    <col width="13" customWidth="1" style="35" min="2" max="3"/>
    <col width="48" customWidth="1" style="35" min="4" max="4"/>
    <col width="11" customWidth="1" style="35" min="5" max="5"/>
    <col width="10" customWidth="1" style="35" min="6" max="7"/>
    <col width="18" customWidth="1" style="35" min="8" max="8"/>
    <col width="52" customWidth="1" style="35" min="9" max="9"/>
  </cols>
  <sheetData>
    <row r="1" ht="21.6" customHeight="1" s="36">
      <c r="A1" s="46" t="inlineStr">
        <is>
          <t>10 周计划</t>
        </is>
      </c>
    </row>
    <row r="2" ht="15" customHeight="1" s="36">
      <c r="A2" s="56" t="inlineStr">
        <is>
          <t>计划开始日期（周一，可修改）</t>
        </is>
      </c>
      <c r="C2" s="57" t="n">
        <v>46314</v>
      </c>
      <c r="D2" s="47" t="inlineStr">
        <is>
          <t>← 假设：从 2026-10-19 开始；改这一格，下面各周日期会自动更新</t>
        </is>
      </c>
    </row>
    <row r="3"/>
    <row r="4" ht="42" customHeight="1" s="36">
      <c r="A4" s="37" t="inlineStr">
        <is>
          <t>周</t>
        </is>
      </c>
      <c r="B4" s="37" t="inlineStr">
        <is>
          <t>开始日</t>
        </is>
      </c>
      <c r="C4" s="37" t="inlineStr">
        <is>
          <t>结束日</t>
        </is>
      </c>
      <c r="D4" s="37" t="inlineStr">
        <is>
          <t>内容</t>
        </is>
      </c>
      <c r="E4" s="37" t="inlineStr">
        <is>
          <t>计划题数</t>
        </is>
      </c>
      <c r="F4" s="37" t="inlineStr">
        <is>
          <t>已完成</t>
        </is>
      </c>
      <c r="G4" s="37" t="inlineStr">
        <is>
          <t>完成率</t>
        </is>
      </c>
      <c r="H4" s="37" t="inlineStr">
        <is>
          <t>平均每学习日题数（按5天）</t>
        </is>
      </c>
      <c r="I4" s="37" t="inlineStr">
        <is>
          <t>说明</t>
        </is>
      </c>
    </row>
    <row r="5" ht="15" customHeight="1" s="36">
      <c r="A5" s="39" t="n">
        <v>1</v>
      </c>
      <c r="B5" s="58">
        <f>$C$2+7*(A5-1)</f>
        <v/>
      </c>
      <c r="C5" s="58">
        <f>B5+6</f>
        <v/>
      </c>
      <c r="D5" s="59" t="inlineStr">
        <is>
          <t>Array &amp; Hashing + Two Pointers</t>
        </is>
      </c>
      <c r="E5" s="39">
        <f>COUNTIF(刷题记录!$A$2:$A$165,A5)</f>
        <v/>
      </c>
      <c r="F5" s="39">
        <f>SUMPRODUCT((刷题记录!$A$2:$A$165=A5)*(((刷题记录!$F$2:$F$165&lt;&gt;"")+(刷题记录!$G$2:$G$165&lt;&gt;""))&gt;0))</f>
        <v/>
      </c>
      <c r="G5" s="60">
        <f>IFERROR(F5/E5,0)</f>
        <v/>
      </c>
      <c r="H5" s="39">
        <f>ROUND(E5/5,1)</f>
        <v/>
      </c>
      <c r="I5" s="61" t="inlineStr">
        <is>
          <t>含你提到的“哈希收尾”</t>
        </is>
      </c>
    </row>
    <row r="6" ht="15" customHeight="1" s="36">
      <c r="A6" s="39" t="n">
        <v>2</v>
      </c>
      <c r="B6" s="58">
        <f>$C$2+7*(A6-1)</f>
        <v/>
      </c>
      <c r="C6" s="58">
        <f>B6+6</f>
        <v/>
      </c>
      <c r="D6" s="59" t="inlineStr">
        <is>
          <t>Sliding Window + Stack</t>
        </is>
      </c>
      <c r="E6" s="39">
        <f>COUNTIF(刷题记录!$A$2:$A$165,A6)</f>
        <v/>
      </c>
      <c r="F6" s="39">
        <f>SUMPRODUCT((刷题记录!$A$2:$A$165=A6)*(((刷题记录!$F$2:$F$165&lt;&gt;"")+(刷题记录!$G$2:$G$165&lt;&gt;""))&gt;0))</f>
        <v/>
      </c>
      <c r="G6" s="60">
        <f>IFERROR(F6/E6,0)</f>
        <v/>
      </c>
      <c r="H6" s="39">
        <f>ROUND(E6/5,1)</f>
        <v/>
      </c>
      <c r="I6" s="59" t="n"/>
    </row>
    <row r="7" ht="15" customHeight="1" s="36">
      <c r="A7" s="39" t="n">
        <v>3</v>
      </c>
      <c r="B7" s="58">
        <f>$C$2+7*(A7-1)</f>
        <v/>
      </c>
      <c r="C7" s="58">
        <f>B7+6</f>
        <v/>
      </c>
      <c r="D7" s="59" t="inlineStr">
        <is>
          <t>Binary Search + Linked List</t>
        </is>
      </c>
      <c r="E7" s="39">
        <f>COUNTIF(刷题记录!$A$2:$A$165,A7)</f>
        <v/>
      </c>
      <c r="F7" s="39">
        <f>SUMPRODUCT((刷题记录!$A$2:$A$165=A7)*(((刷题记录!$F$2:$F$165&lt;&gt;"")+(刷题记录!$G$2:$G$165&lt;&gt;""))&gt;0))</f>
        <v/>
      </c>
      <c r="G7" s="60">
        <f>IFERROR(F7/E7,0)</f>
        <v/>
      </c>
      <c r="H7" s="39">
        <f>ROUND(E7/5,1)</f>
        <v/>
      </c>
      <c r="I7" s="59" t="n"/>
    </row>
    <row r="8" ht="15" customHeight="1" s="36">
      <c r="A8" s="39" t="n">
        <v>4</v>
      </c>
      <c r="B8" s="58">
        <f>$C$2+7*(A8-1)</f>
        <v/>
      </c>
      <c r="C8" s="58">
        <f>B8+6</f>
        <v/>
      </c>
      <c r="D8" s="59" t="inlineStr">
        <is>
          <t>Trees</t>
        </is>
      </c>
      <c r="E8" s="39">
        <f>COUNTIF(刷题记录!$A$2:$A$165,A8)</f>
        <v/>
      </c>
      <c r="F8" s="39">
        <f>SUMPRODUCT((刷题记录!$A$2:$A$165=A8)*(((刷题记录!$F$2:$F$165&lt;&gt;"")+(刷题记录!$G$2:$G$165&lt;&gt;""))&gt;0))</f>
        <v/>
      </c>
      <c r="G8" s="60">
        <f>IFERROR(F8/E8,0)</f>
        <v/>
      </c>
      <c r="H8" s="39">
        <f>ROUND(E8/5,1)</f>
        <v/>
      </c>
      <c r="I8" s="59" t="n"/>
    </row>
    <row r="9" ht="15" customHeight="1" s="36">
      <c r="A9" s="39" t="n">
        <v>5</v>
      </c>
      <c r="B9" s="58">
        <f>$C$2+7*(A9-1)</f>
        <v/>
      </c>
      <c r="C9" s="58">
        <f>B9+6</f>
        <v/>
      </c>
      <c r="D9" s="59" t="inlineStr">
        <is>
          <t>Tries + Heap + Backtracking</t>
        </is>
      </c>
      <c r="E9" s="39">
        <f>COUNTIF(刷题记录!$A$2:$A$165,A9)</f>
        <v/>
      </c>
      <c r="F9" s="39">
        <f>SUMPRODUCT((刷题记录!$A$2:$A$165=A9)*(((刷题记录!$F$2:$F$165&lt;&gt;"")+(刷题记录!$G$2:$G$165&lt;&gt;""))&gt;0))</f>
        <v/>
      </c>
      <c r="G9" s="60">
        <f>IFERROR(F9/E9,0)</f>
        <v/>
      </c>
      <c r="H9" s="39">
        <f>ROUND(E9/5,1)</f>
        <v/>
      </c>
      <c r="I9" s="59" t="n"/>
    </row>
    <row r="10" ht="15" customHeight="1" s="36">
      <c r="A10" s="39" t="n">
        <v>6</v>
      </c>
      <c r="B10" s="58">
        <f>$C$2+7*(A10-1)</f>
        <v/>
      </c>
      <c r="C10" s="58">
        <f>B10+6</f>
        <v/>
      </c>
      <c r="D10" s="59" t="inlineStr">
        <is>
          <t>Graphs</t>
        </is>
      </c>
      <c r="E10" s="39">
        <f>COUNTIF(刷题记录!$A$2:$A$165,A10)</f>
        <v/>
      </c>
      <c r="F10" s="39">
        <f>SUMPRODUCT((刷题记录!$A$2:$A$165=A10)*(((刷题记录!$F$2:$F$165&lt;&gt;"")+(刷题记录!$G$2:$G$165&lt;&gt;""))&gt;0))</f>
        <v/>
      </c>
      <c r="G10" s="60">
        <f>IFERROR(F10/E10,0)</f>
        <v/>
      </c>
      <c r="H10" s="39">
        <f>ROUND(E10/5,1)</f>
        <v/>
      </c>
      <c r="I10" s="59" t="n"/>
    </row>
    <row r="11" ht="15" customHeight="1" s="36">
      <c r="A11" s="39" t="n">
        <v>7</v>
      </c>
      <c r="B11" s="58">
        <f>$C$2+7*(A11-1)</f>
        <v/>
      </c>
      <c r="C11" s="58">
        <f>B11+6</f>
        <v/>
      </c>
      <c r="D11" s="59" t="inlineStr">
        <is>
          <t>Advanced Graphs</t>
        </is>
      </c>
      <c r="E11" s="39">
        <f>COUNTIF(刷题记录!$A$2:$A$165,A11)</f>
        <v/>
      </c>
      <c r="F11" s="39">
        <f>SUMPRODUCT((刷题记录!$A$2:$A$165=A11)*(((刷题记录!$F$2:$F$165&lt;&gt;"")+(刷题记录!$G$2:$G$165&lt;&gt;""))&gt;0))</f>
        <v/>
      </c>
      <c r="G11" s="60">
        <f>IFERROR(F11/E11,0)</f>
        <v/>
      </c>
      <c r="H11" s="39">
        <f>ROUND(E11/5,1)</f>
        <v/>
      </c>
      <c r="I11" s="61" t="inlineStr">
        <is>
          <t>题量较少，可当缓冲周</t>
        </is>
      </c>
    </row>
    <row r="12" ht="15" customHeight="1" s="36">
      <c r="A12" s="39" t="n">
        <v>8</v>
      </c>
      <c r="B12" s="58">
        <f>$C$2+7*(A12-1)</f>
        <v/>
      </c>
      <c r="C12" s="58">
        <f>B12+6</f>
        <v/>
      </c>
      <c r="D12" s="59" t="inlineStr">
        <is>
          <t>1-D DP + 2-D DP</t>
        </is>
      </c>
      <c r="E12" s="39">
        <f>COUNTIF(刷题记录!$A$2:$A$165,A12)</f>
        <v/>
      </c>
      <c r="F12" s="39">
        <f>SUMPRODUCT((刷题记录!$A$2:$A$165=A12)*(((刷题记录!$F$2:$F$165&lt;&gt;"")+(刷题记录!$G$2:$G$165&lt;&gt;""))&gt;0))</f>
        <v/>
      </c>
      <c r="G12" s="60">
        <f>IFERROR(F12/E12,0)</f>
        <v/>
      </c>
      <c r="H12" s="39">
        <f>ROUND(E12/5,1)</f>
        <v/>
      </c>
      <c r="I12" s="61" t="inlineStr">
        <is>
          <t>题量较大，难题多</t>
        </is>
      </c>
    </row>
    <row r="13" ht="15" customHeight="1" s="36">
      <c r="A13" s="39" t="n">
        <v>9</v>
      </c>
      <c r="B13" s="58">
        <f>$C$2+7*(A13-1)</f>
        <v/>
      </c>
      <c r="C13" s="58">
        <f>B13+6</f>
        <v/>
      </c>
      <c r="D13" s="59" t="inlineStr">
        <is>
          <t>Greedy + Intervals + Math &amp; Geometry + Bit Manipulation</t>
        </is>
      </c>
      <c r="E13" s="39">
        <f>COUNTIF(刷题记录!$A$2:$A$165,A13)</f>
        <v/>
      </c>
      <c r="F13" s="39">
        <f>SUMPRODUCT((刷题记录!$A$2:$A$165=A13)*(((刷题记录!$F$2:$F$165&lt;&gt;"")+(刷题记录!$G$2:$G$165&lt;&gt;""))&gt;0))</f>
        <v/>
      </c>
      <c r="G13" s="60">
        <f>IFERROR(F13/E13,0)</f>
        <v/>
      </c>
      <c r="H13" s="39">
        <f>ROUND(E13/5,1)</f>
        <v/>
      </c>
      <c r="I13" s="61" t="inlineStr">
        <is>
          <t>题量较大，但多为简单和中等题</t>
        </is>
      </c>
    </row>
    <row r="14" ht="29.85" customHeight="1" s="36">
      <c r="A14" s="39" t="n">
        <v>10</v>
      </c>
      <c r="B14" s="58">
        <f>$C$2+7*(A14-1)</f>
        <v/>
      </c>
      <c r="C14" s="58">
        <f>B14+6</f>
        <v/>
      </c>
      <c r="D14" s="61" t="inlineStr">
        <is>
          <t>错题复盘与模拟：重做黄标 / 红标题</t>
        </is>
      </c>
      <c r="E14" s="39">
        <f>COUNTIF(刷题记录!$H$2:$H$165,"有困难(黄)")+COUNTIF(刷题记录!$H$2:$H$165,"看了答案(红)")</f>
        <v/>
      </c>
      <c r="F14" s="39">
        <f>COUNTIFS(刷题记录!$H$2:$H$165,"有困难(黄)",刷题记录!$K$2:$K$165,"&gt;0")+COUNTIFS(刷题记录!$H$2:$H$165,"看了答案(红)",刷题记录!$K$2:$K$165,"&gt;0")</f>
        <v/>
      </c>
      <c r="G14" s="60">
        <f>IFERROR(F14/E14,0)</f>
        <v/>
      </c>
      <c r="H14" s="39">
        <f>ROUND(E14/5,1)</f>
        <v/>
      </c>
      <c r="I14" s="61" t="inlineStr">
        <is>
          <t>第 10 周：计划题数 = 当前黄标 + 红标题数；已完成 = 其中已有二刷用时的题数</t>
        </is>
      </c>
    </row>
    <row r="15" ht="15" customHeight="1" s="36">
      <c r="D15" s="56" t="inlineStr">
        <is>
          <t>合计（第 1–9 周）</t>
        </is>
      </c>
      <c r="E15" s="62">
        <f>SUM(E5:E13)</f>
        <v/>
      </c>
      <c r="F15" s="62">
        <f>SUM(F5:F13)</f>
        <v/>
      </c>
      <c r="G15" s="63">
        <f>IFERROR(F15/E15,0)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F1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4" customWidth="1" style="35" min="1" max="1"/>
    <col width="90" customWidth="1" style="35" min="2" max="2"/>
    <col width="14" customWidth="1" style="35" min="3" max="3"/>
    <col width="16" customWidth="1" style="35" min="4" max="4"/>
    <col width="12" customWidth="1" style="35" min="5" max="5"/>
    <col width="18" customWidth="1" style="35" min="6" max="6"/>
  </cols>
  <sheetData>
    <row r="1" ht="17.35" customHeight="1" s="36">
      <c r="A1" s="64" t="inlineStr">
        <is>
          <t>使用说明</t>
        </is>
      </c>
    </row>
    <row r="2" ht="30" customHeight="1" s="36">
      <c r="A2" s="65" t="inlineStr">
        <is>
          <t>橙色表头的列</t>
        </is>
      </c>
      <c r="B2" s="66" t="inlineStr">
        <is>
          <t>需要你手动填写：一刷日期、一刷用时(分钟)、掌握度、二刷日期、二刷用时(分钟)、备注。浅黄色底的单元格就是填写区。</t>
        </is>
      </c>
    </row>
    <row r="3" ht="15" customHeight="1" s="36">
      <c r="A3" s="65" t="inlineStr">
        <is>
          <t>蓝色表头的列</t>
        </is>
      </c>
      <c r="B3" s="66" t="inlineStr">
        <is>
          <t>已预先填好：周、模块、题目编号（即 LeetCode 题号）、题名、难度。</t>
        </is>
      </c>
    </row>
    <row r="4" ht="30" customHeight="1" s="36">
      <c r="A4" s="65" t="inlineStr">
        <is>
          <t>是否二刷</t>
        </is>
      </c>
      <c r="B4" s="66" t="inlineStr">
        <is>
          <t>自动显示：填了二刷日期或二刷用时显示“是”；只做过一刷显示“否”；还没开始则留空。不用手动填。</t>
        </is>
      </c>
    </row>
    <row r="5" ht="30" customHeight="1" s="36">
      <c r="A5" s="65" t="inlineStr">
        <is>
          <t>掌握度</t>
        </is>
      </c>
      <c r="B5" s="66" t="inlineStr">
        <is>
          <t>下拉选择：顺利 / 有困难(黄) / 看了答案(红)。第 10 周复盘时，用表头筛选按钮选出黄标和红标题重做。</t>
        </is>
      </c>
    </row>
    <row r="6" ht="15" customHeight="1" s="36">
      <c r="A6" s="65" t="inlineStr">
        <is>
          <t>进度总览 / 每周计划</t>
        </is>
      </c>
      <c r="B6" s="66" t="inlineStr">
        <is>
          <t>自动汇总，不需要修改。每周计划里的开始日期可以改。</t>
        </is>
      </c>
    </row>
    <row r="7" ht="60" customHeight="1" s="36">
      <c r="A7" s="65" t="inlineStr">
        <is>
          <t>题单来源与假设</t>
        </is>
      </c>
      <c r="B7" s="66" t="inlineStr">
        <is>
          <t>题单已改为你在 LeetCode 上的清单(164 题),按 NeetCode 的模块顺序排列,每周分配沿用原 10 周计划。清单里没有的 NeetCode 题(50、125、136、167、206、287)已删除;清单里原先没有分类的题(如 752、1235、542 等 20 题)按题型归入最接近的模块。</t>
        </is>
      </c>
    </row>
    <row r="8" ht="45" customHeight="1" s="36">
      <c r="A8" s="65" t="inlineStr">
        <is>
          <t>周分配</t>
        </is>
      </c>
      <c r="B8" s="66" t="inlineStr">
        <is>
          <t>每周题量按模块自动统计(见“每周计划”)。需要调整时改“刷题记录”的“周”列,每周计划会自动重新统计。</t>
        </is>
      </c>
    </row>
    <row r="9" ht="30" customHeight="1" s="36">
      <c r="A9" s="65" t="inlineStr">
        <is>
          <t>会员题</t>
        </is>
      </c>
      <c r="B9" s="66" t="inlineStr">
        <is>
          <t>备注里标了“LeetCode 会员题”的有 7 道（271、286、323、261、269、252、253）。</t>
        </is>
      </c>
    </row>
    <row r="10" ht="15" customHeight="1" s="36">
      <c r="A10" s="67" t="inlineStr">
        <is>
          <t>填写示例（仅示意格式，不在数据里）</t>
        </is>
      </c>
    </row>
    <row r="11" ht="15" customHeight="1" s="36">
      <c r="A11" s="68" t="inlineStr">
        <is>
          <t>题目编号</t>
        </is>
      </c>
      <c r="B11" s="68" t="inlineStr">
        <is>
          <t>题名</t>
        </is>
      </c>
      <c r="C11" s="68" t="inlineStr">
        <is>
          <t>一刷日期</t>
        </is>
      </c>
      <c r="D11" s="68" t="inlineStr">
        <is>
          <t>一刷用时(分钟)</t>
        </is>
      </c>
      <c r="E11" s="68" t="inlineStr">
        <is>
          <t>掌握度</t>
        </is>
      </c>
      <c r="F11" s="68" t="inlineStr">
        <is>
          <t>是否二刷（自动）</t>
        </is>
      </c>
    </row>
    <row r="12" ht="15" customHeight="1" s="36">
      <c r="A12" s="54" t="n">
        <v>1</v>
      </c>
      <c r="B12" s="54" t="inlineStr">
        <is>
          <t>Two Sum</t>
        </is>
      </c>
      <c r="C12" s="69" t="n">
        <v>46314</v>
      </c>
      <c r="D12" s="54" t="n">
        <v>18</v>
      </c>
      <c r="E12" s="70" t="inlineStr">
        <is>
          <t>顺利</t>
        </is>
      </c>
      <c r="F12" s="70" t="inlineStr">
        <is>
          <t>否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2026-10-18T22:29:05Z</dcterms:created>
  <dcterms:modified xmlns:dcterms="http://purl.org/dc/terms/" xmlns:xsi="http://www.w3.org/2001/XMLSchema-instance" xsi:type="dcterms:W3CDTF">2026-10-29T02:11:20Z</dcterms:modified>
  <cp:revision>0</cp:revision>
</cp:coreProperties>
</file>